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<sst xmlns="http://schemas.openxmlformats.org/spreadsheetml/2006/main" count="117" uniqueCount="56">
  <si>
    <t>NEXUS</t>
  </si>
  <si>
    <t>Profit and Loss (P&amp;L) Statement</t>
  </si>
  <si>
    <t>Unit: VND</t>
  </si>
  <si>
    <t>Fall 2026</t>
  </si>
  <si>
    <t>Spring 2027</t>
  </si>
  <si>
    <t>Summer 2027</t>
  </si>
  <si>
    <t>Fall 2027</t>
  </si>
  <si>
    <t>Spring 2028</t>
  </si>
  <si>
    <t>Summer 2028</t>
  </si>
  <si>
    <t>Fall 2028</t>
  </si>
  <si>
    <t>Spring 2029</t>
  </si>
  <si>
    <t>Summer 2029</t>
  </si>
  <si>
    <t>Fall 2029</t>
  </si>
  <si>
    <t>Gói</t>
  </si>
  <si>
    <t>Revenue stream 1</t>
  </si>
  <si>
    <t>Audit</t>
  </si>
  <si>
    <t>Returns, Refunds, Discounts (1%)</t>
  </si>
  <si>
    <t>Continuous Support</t>
  </si>
  <si>
    <t>Total Net Revenue</t>
  </si>
  <si>
    <t>Revenue Stream 1</t>
  </si>
  <si>
    <t>Cost of Goods Sold</t>
  </si>
  <si>
    <t>Gross Profit</t>
  </si>
  <si>
    <t>Nhóm giả định:</t>
  </si>
  <si>
    <t>Gross Profit Margin %</t>
  </si>
  <si>
    <t>Chi phí reviewer = 80.000 VNĐ/giờ</t>
  </si>
  <si>
    <t>Giá bán</t>
  </si>
  <si>
    <t>COGS/nhóm</t>
  </si>
  <si>
    <t>Gross Profit/nhóm</t>
  </si>
  <si>
    <t>Expenses</t>
  </si>
  <si>
    <t>Advertising &amp; Promotion</t>
  </si>
  <si>
    <t>Audit &amp; Review</t>
  </si>
  <si>
    <t>Depreciation &amp; Amortization</t>
  </si>
  <si>
    <t>Insurance</t>
  </si>
  <si>
    <t>Maintenance</t>
  </si>
  <si>
    <t>Office Supplies</t>
  </si>
  <si>
    <t>Rent</t>
  </si>
  <si>
    <t>Fixed COGS</t>
  </si>
  <si>
    <t>Salaries, Benefits &amp; Wages</t>
  </si>
  <si>
    <t>Reviewer Cost (Variable COGS)</t>
  </si>
  <si>
    <t>Telecommunication</t>
  </si>
  <si>
    <t>COGS</t>
  </si>
  <si>
    <t>Travel</t>
  </si>
  <si>
    <t>Utilities</t>
  </si>
  <si>
    <t>Trong giai đoạn đầu, Founder trực tiếp thực hiện dịch vụ theo hình thức Sweat Equity (không nhận lương). Tuy nhiên, nhóm vẫn ghi nhận chi phí reviewer vào COGS theo mức chi phí lao động dự kiến nhằm phản ánh đúng giá thành dịch vụ khi Nexus mở rộng và thuê reviewer trong tương lai.</t>
  </si>
  <si>
    <t>Other Expense 1 (ChatGPT Plus)</t>
  </si>
  <si>
    <t>Other Expense 2 (Domain)</t>
  </si>
  <si>
    <t>Total Expenses</t>
  </si>
  <si>
    <t>Earnings Before Interest &amp; Taxes (EBIT)</t>
  </si>
  <si>
    <t>Ebit margin %</t>
  </si>
  <si>
    <t>Loan (Outstanding debt)</t>
  </si>
  <si>
    <t>Interest rate (%/Quarter)</t>
  </si>
  <si>
    <t>Interest Expense</t>
  </si>
  <si>
    <t>Earnings Before Taxes (EBT)</t>
  </si>
  <si>
    <t>EBT margin %</t>
  </si>
  <si>
    <t>Corporate Taxes (20%)</t>
  </si>
  <si>
    <t>Net Earnings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</si>
</sst>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4.0"/>
      <color rgb="FFFFFFFF"/>
      <name val="Open Sans"/>
    </font>
    <font>
      <color theme="1"/>
      <name val="Arial"/>
    </font>
    <font>
      <b/>
      <color rgb="FFFFFFFF"/>
      <name val="Open Sans"/>
    </font>
    <font>
      <b/>
      <color theme="1"/>
      <name val="Open Sans"/>
    </font>
    <font>
      <b/>
      <color theme="1"/>
      <name val="Arial"/>
    </font>
    <font>
      <color theme="1"/>
      <name val="Open Sans"/>
    </font>
    <font>
      <i/>
      <color theme="1"/>
      <name val="Open Sans"/>
    </font>
    <font>
      <i/>
      <color theme="1"/>
      <name val="Arial"/>
    </font>
  </fonts>
  <fills count="5">
    <fill>
      <patternFill patternType="none"/>
    </fill>
    <fill>
      <patternFill patternType="lightGray"/>
    </fill>
    <fill>
      <patternFill patternType="solid">
        <fgColor rgb="FF3C78D8"/>
        <bgColor rgb="FF3C78D8"/>
      </patternFill>
    </fill>
    <fill>
      <patternFill patternType="solid">
        <fgColor rgb="FFFFFFFF"/>
        <bgColor rgb="FFFFFFFF"/>
      </patternFill>
    </fill>
    <fill>
      <patternFill patternType="solid">
        <fgColor rgb="FFD8D8D8"/>
        <bgColor rgb="FFD8D8D8"/>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vertical="bottom"/>
    </xf>
    <xf borderId="0" fillId="0" fontId="2" numFmtId="0" xfId="0" applyAlignment="1" applyFont="1">
      <alignment vertical="bottom"/>
    </xf>
    <xf borderId="0" fillId="2" fontId="3" numFmtId="0" xfId="0" applyAlignment="1" applyFont="1">
      <alignment vertical="bottom"/>
    </xf>
    <xf borderId="1" fillId="0" fontId="2" numFmtId="0" xfId="0" applyAlignment="1" applyBorder="1" applyFont="1">
      <alignment vertical="bottom"/>
    </xf>
    <xf borderId="1" fillId="0" fontId="4" numFmtId="0" xfId="0" applyAlignment="1" applyBorder="1" applyFont="1">
      <alignment horizontal="center" vertical="bottom"/>
    </xf>
    <xf borderId="2" fillId="0" fontId="4" numFmtId="0" xfId="0" applyAlignment="1" applyBorder="1" applyFont="1">
      <alignment horizontal="center" vertical="bottom"/>
    </xf>
    <xf borderId="1" fillId="0" fontId="5" numFmtId="0" xfId="0" applyAlignment="1" applyBorder="1" applyFont="1">
      <alignment vertical="bottom"/>
    </xf>
    <xf borderId="0" fillId="3" fontId="6" numFmtId="0" xfId="0" applyAlignment="1" applyFill="1" applyFont="1">
      <alignment vertical="bottom"/>
    </xf>
    <xf borderId="1" fillId="0" fontId="2" numFmtId="3" xfId="0" applyAlignment="1" applyBorder="1" applyFont="1" applyNumberFormat="1">
      <alignment horizontal="right" vertical="bottom"/>
    </xf>
    <xf borderId="2" fillId="0" fontId="2" numFmtId="3" xfId="0" applyAlignment="1" applyBorder="1" applyFont="1" applyNumberFormat="1">
      <alignment horizontal="right" vertical="bottom"/>
    </xf>
    <xf borderId="0" fillId="0" fontId="2" numFmtId="3" xfId="0" applyAlignment="1" applyFont="1" applyNumberFormat="1">
      <alignment vertical="bottom"/>
    </xf>
    <xf borderId="1" fillId="0" fontId="2" numFmtId="0" xfId="0" applyAlignment="1" applyBorder="1" applyFont="1">
      <alignment horizontal="right" vertical="bottom"/>
    </xf>
    <xf borderId="0" fillId="3" fontId="6" numFmtId="3" xfId="0" applyAlignment="1" applyFont="1" applyNumberFormat="1">
      <alignment horizontal="right" vertical="bottom"/>
    </xf>
    <xf borderId="0" fillId="3" fontId="2" numFmtId="3" xfId="0" applyAlignment="1" applyFont="1" applyNumberFormat="1">
      <alignment vertical="bottom"/>
    </xf>
    <xf borderId="3" fillId="4" fontId="4" numFmtId="0" xfId="0" applyAlignment="1" applyBorder="1" applyFill="1" applyFont="1">
      <alignment vertical="bottom"/>
    </xf>
    <xf borderId="3" fillId="4" fontId="4" numFmtId="3" xfId="0" applyAlignment="1" applyBorder="1" applyFont="1" applyNumberFormat="1">
      <alignment horizontal="right" vertical="bottom"/>
    </xf>
    <xf borderId="0" fillId="3" fontId="2" numFmtId="0" xfId="0" applyAlignment="1" applyFont="1">
      <alignment vertical="bottom"/>
    </xf>
    <xf borderId="0" fillId="3" fontId="7" numFmtId="0" xfId="0" applyAlignment="1" applyFont="1">
      <alignment vertical="bottom"/>
    </xf>
    <xf borderId="0" fillId="3" fontId="6" numFmtId="10" xfId="0" applyAlignment="1" applyFont="1" applyNumberFormat="1">
      <alignment horizontal="right" vertical="bottom"/>
    </xf>
    <xf borderId="0" fillId="3" fontId="2" numFmtId="10" xfId="0" applyAlignment="1" applyFont="1" applyNumberFormat="1">
      <alignment vertical="bottom"/>
    </xf>
    <xf borderId="1" fillId="0" fontId="5" numFmtId="0" xfId="0" applyAlignment="1" applyBorder="1" applyFont="1">
      <alignment horizontal="right" vertical="bottom"/>
    </xf>
    <xf borderId="0" fillId="3" fontId="4" numFmtId="0" xfId="0" applyAlignment="1" applyFont="1">
      <alignment vertical="bottom"/>
    </xf>
    <xf borderId="0" fillId="3" fontId="6" numFmtId="0" xfId="0" applyAlignment="1" applyFont="1">
      <alignment horizontal="right" vertical="bottom"/>
    </xf>
    <xf borderId="0" fillId="0" fontId="8" numFmtId="0" xfId="0" applyAlignment="1" applyFont="1">
      <alignment shrinkToFit="0" vertical="bottom" wrapText="1"/>
    </xf>
    <xf borderId="3" fillId="3" fontId="6" numFmtId="0" xfId="0" applyAlignment="1" applyBorder="1" applyFont="1">
      <alignment vertical="bottom"/>
    </xf>
    <xf borderId="3" fillId="3" fontId="6" numFmtId="3" xfId="0" applyAlignment="1" applyBorder="1" applyFont="1" applyNumberFormat="1">
      <alignment horizontal="right" vertical="bottom"/>
    </xf>
    <xf borderId="0" fillId="3" fontId="7" numFmtId="0" xfId="0" applyAlignment="1" applyFont="1">
      <alignment horizontal="right" vertical="bottom"/>
    </xf>
    <xf borderId="0" fillId="3" fontId="7" numFmtId="10" xfId="0" applyAlignment="1" applyFont="1" applyNumberFormat="1">
      <alignment horizontal="right" vertical="bottom"/>
    </xf>
    <xf borderId="0" fillId="0" fontId="2" numFmtId="10" xfId="0" applyAlignment="1" applyFont="1" applyNumberFormat="1">
      <alignment vertical="bottom"/>
    </xf>
    <xf borderId="0" fillId="3" fontId="4" numFmtId="0" xfId="0" applyAlignment="1" applyFont="1">
      <alignment horizontal="right" vertical="bottom"/>
    </xf>
    <xf borderId="0" fillId="4" fontId="7" numFmtId="0" xfId="0" applyAlignment="1" applyFont="1">
      <alignment horizontal="right" vertical="bottom"/>
    </xf>
    <xf borderId="0" fillId="4" fontId="7" numFmtId="10" xfId="0" applyAlignment="1" applyFont="1" applyNumberFormat="1">
      <alignment horizontal="right" vertical="bottom"/>
    </xf>
    <xf borderId="3" fillId="3" fontId="4" numFmtId="0" xfId="0" applyAlignment="1" applyBorder="1" applyFont="1">
      <alignment vertical="bottom"/>
    </xf>
    <xf borderId="3" fillId="3" fontId="4" numFmtId="3" xfId="0" applyAlignment="1" applyBorder="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14" max="14" width="26.25"/>
    <col customWidth="1" min="16" max="16" width="13.0"/>
    <col customWidth="1" min="17" max="17" width="15.13"/>
  </cols>
  <sheetData>
    <row r="1">
      <c r="A1" s="1" t="s">
        <v>0</v>
      </c>
      <c r="B1" s="2"/>
      <c r="C1" s="2"/>
      <c r="D1" s="2"/>
      <c r="E1" s="2"/>
      <c r="F1" s="2"/>
      <c r="G1" s="2"/>
      <c r="H1" s="2"/>
      <c r="I1" s="2"/>
      <c r="J1" s="2"/>
      <c r="K1" s="2"/>
      <c r="L1" s="3"/>
      <c r="M1" s="3"/>
      <c r="N1" s="3"/>
    </row>
    <row r="2">
      <c r="A2" s="4" t="s">
        <v>1</v>
      </c>
      <c r="B2" s="2"/>
      <c r="C2" s="2"/>
      <c r="D2" s="2"/>
      <c r="E2" s="2"/>
      <c r="F2" s="2"/>
      <c r="G2" s="2"/>
      <c r="H2" s="2"/>
      <c r="I2" s="2"/>
      <c r="J2" s="2"/>
      <c r="K2" s="2"/>
      <c r="L2" s="3"/>
      <c r="M2" s="3"/>
      <c r="N2" s="3"/>
    </row>
    <row r="3">
      <c r="A3" s="4" t="s">
        <v>2</v>
      </c>
      <c r="B3" s="2"/>
      <c r="C3" s="2"/>
      <c r="D3" s="2"/>
      <c r="E3" s="2"/>
      <c r="F3" s="2"/>
      <c r="G3" s="2"/>
      <c r="H3" s="2"/>
      <c r="I3" s="2"/>
      <c r="J3" s="2"/>
      <c r="K3" s="2"/>
      <c r="L3" s="3"/>
      <c r="M3" s="3"/>
      <c r="N3" s="3"/>
    </row>
    <row r="4">
      <c r="A4" s="5"/>
      <c r="B4" s="6" t="s">
        <v>3</v>
      </c>
      <c r="C4" s="6" t="s">
        <v>4</v>
      </c>
      <c r="D4" s="6" t="s">
        <v>5</v>
      </c>
      <c r="E4" s="6" t="s">
        <v>6</v>
      </c>
      <c r="F4" s="6" t="s">
        <v>7</v>
      </c>
      <c r="G4" s="6" t="s">
        <v>8</v>
      </c>
      <c r="H4" s="6" t="s">
        <v>9</v>
      </c>
      <c r="I4" s="6" t="s">
        <v>10</v>
      </c>
      <c r="J4" s="6" t="s">
        <v>11</v>
      </c>
      <c r="K4" s="7" t="s">
        <v>12</v>
      </c>
      <c r="L4" s="3"/>
      <c r="M4" s="3"/>
      <c r="N4" s="8" t="s">
        <v>13</v>
      </c>
      <c r="O4" s="6" t="s">
        <v>3</v>
      </c>
      <c r="P4" s="6" t="s">
        <v>4</v>
      </c>
      <c r="Q4" s="6" t="s">
        <v>5</v>
      </c>
      <c r="R4" s="6" t="s">
        <v>6</v>
      </c>
      <c r="S4" s="6" t="s">
        <v>7</v>
      </c>
      <c r="T4" s="6" t="s">
        <v>8</v>
      </c>
      <c r="U4" s="6" t="s">
        <v>9</v>
      </c>
      <c r="V4" s="6" t="s">
        <v>10</v>
      </c>
      <c r="W4" s="6" t="s">
        <v>11</v>
      </c>
      <c r="X4" s="6" t="s">
        <v>12</v>
      </c>
    </row>
    <row r="5">
      <c r="A5" s="9" t="s">
        <v>14</v>
      </c>
      <c r="B5" s="10">
        <v>2090000.0</v>
      </c>
      <c r="C5" s="10">
        <v>2938000.0</v>
      </c>
      <c r="D5" s="10">
        <v>3637000.0</v>
      </c>
      <c r="E5" s="10">
        <v>4236000.0</v>
      </c>
      <c r="F5" s="10">
        <v>5285000.0</v>
      </c>
      <c r="G5" s="10">
        <v>5635000.0</v>
      </c>
      <c r="H5" s="10">
        <v>6435000.0</v>
      </c>
      <c r="I5" s="10">
        <v>6785000.0</v>
      </c>
      <c r="J5" s="10">
        <v>7135000.0</v>
      </c>
      <c r="K5" s="11">
        <v>7485000.0</v>
      </c>
      <c r="L5" s="12"/>
      <c r="M5" s="12"/>
      <c r="N5" s="8" t="s">
        <v>15</v>
      </c>
      <c r="O5" s="13">
        <v>4.0</v>
      </c>
      <c r="P5" s="13">
        <v>4.0</v>
      </c>
      <c r="Q5" s="13">
        <v>3.0</v>
      </c>
      <c r="R5" s="13">
        <v>3.0</v>
      </c>
      <c r="S5" s="13">
        <v>2.0</v>
      </c>
      <c r="T5" s="13">
        <v>2.0</v>
      </c>
      <c r="U5" s="13">
        <v>1.0</v>
      </c>
      <c r="V5" s="13">
        <v>1.0</v>
      </c>
      <c r="W5" s="13">
        <v>1.0</v>
      </c>
      <c r="X5" s="13">
        <v>1.0</v>
      </c>
    </row>
    <row r="6">
      <c r="A6" s="9" t="s">
        <v>16</v>
      </c>
      <c r="B6" s="14">
        <f t="shared" ref="B6:K6" si="1">B5*1%</f>
        <v>20900</v>
      </c>
      <c r="C6" s="14">
        <f t="shared" si="1"/>
        <v>29380</v>
      </c>
      <c r="D6" s="14">
        <f t="shared" si="1"/>
        <v>36370</v>
      </c>
      <c r="E6" s="14">
        <f t="shared" si="1"/>
        <v>42360</v>
      </c>
      <c r="F6" s="14">
        <f t="shared" si="1"/>
        <v>52850</v>
      </c>
      <c r="G6" s="14">
        <f t="shared" si="1"/>
        <v>56350</v>
      </c>
      <c r="H6" s="14">
        <f t="shared" si="1"/>
        <v>64350</v>
      </c>
      <c r="I6" s="14">
        <f t="shared" si="1"/>
        <v>67850</v>
      </c>
      <c r="J6" s="14">
        <f t="shared" si="1"/>
        <v>71350</v>
      </c>
      <c r="K6" s="14">
        <f t="shared" si="1"/>
        <v>74850</v>
      </c>
      <c r="L6" s="15"/>
      <c r="M6" s="15"/>
      <c r="N6" s="8" t="s">
        <v>17</v>
      </c>
      <c r="O6" s="13">
        <v>0.0</v>
      </c>
      <c r="P6" s="13">
        <v>1.0</v>
      </c>
      <c r="Q6" s="13">
        <v>2.0</v>
      </c>
      <c r="R6" s="13">
        <v>3.0</v>
      </c>
      <c r="S6" s="13">
        <v>5.0</v>
      </c>
      <c r="T6" s="13">
        <v>6.0</v>
      </c>
      <c r="U6" s="13">
        <v>8.0</v>
      </c>
      <c r="V6" s="13">
        <v>9.0</v>
      </c>
      <c r="W6" s="13">
        <v>10.0</v>
      </c>
      <c r="X6" s="13">
        <v>11.0</v>
      </c>
    </row>
    <row r="7">
      <c r="A7" s="16" t="s">
        <v>18</v>
      </c>
      <c r="B7" s="17">
        <f t="shared" ref="B7:K7" si="2">B5-B6</f>
        <v>2069100</v>
      </c>
      <c r="C7" s="17">
        <f t="shared" si="2"/>
        <v>2908620</v>
      </c>
      <c r="D7" s="17">
        <f t="shared" si="2"/>
        <v>3600630</v>
      </c>
      <c r="E7" s="17">
        <f t="shared" si="2"/>
        <v>4193640</v>
      </c>
      <c r="F7" s="17">
        <f t="shared" si="2"/>
        <v>5232150</v>
      </c>
      <c r="G7" s="17">
        <f t="shared" si="2"/>
        <v>5578650</v>
      </c>
      <c r="H7" s="17">
        <f t="shared" si="2"/>
        <v>6370650</v>
      </c>
      <c r="I7" s="17">
        <f t="shared" si="2"/>
        <v>6717150</v>
      </c>
      <c r="J7" s="17">
        <f t="shared" si="2"/>
        <v>7063650</v>
      </c>
      <c r="K7" s="17">
        <f t="shared" si="2"/>
        <v>7410150</v>
      </c>
      <c r="L7" s="3"/>
      <c r="M7" s="3"/>
      <c r="N7" s="8" t="s">
        <v>19</v>
      </c>
      <c r="O7" s="10">
        <v>2090000.0</v>
      </c>
      <c r="P7" s="10">
        <v>2938000.0</v>
      </c>
      <c r="Q7" s="10">
        <v>3637000.0</v>
      </c>
      <c r="R7" s="10">
        <v>4236000.0</v>
      </c>
      <c r="S7" s="10">
        <v>5285000.0</v>
      </c>
      <c r="T7" s="10">
        <v>5635000.0</v>
      </c>
      <c r="U7" s="10">
        <v>6435000.0</v>
      </c>
      <c r="V7" s="10">
        <v>6785000.0</v>
      </c>
      <c r="W7" s="10">
        <v>7135000.0</v>
      </c>
      <c r="X7" s="10">
        <v>7485000.0</v>
      </c>
    </row>
    <row r="8">
      <c r="A8" s="18"/>
      <c r="B8" s="18"/>
      <c r="C8" s="18"/>
      <c r="D8" s="18"/>
      <c r="E8" s="18"/>
      <c r="F8" s="18"/>
      <c r="G8" s="18"/>
      <c r="H8" s="18"/>
      <c r="I8" s="18"/>
      <c r="J8" s="18"/>
      <c r="K8" s="18"/>
      <c r="L8" s="18"/>
      <c r="M8" s="18"/>
      <c r="N8" s="3"/>
      <c r="O8" s="3"/>
      <c r="P8" s="3"/>
      <c r="Q8" s="3"/>
      <c r="R8" s="3"/>
      <c r="S8" s="3"/>
      <c r="T8" s="3"/>
      <c r="U8" s="3"/>
      <c r="V8" s="3"/>
      <c r="W8" s="3"/>
      <c r="X8" s="3"/>
    </row>
    <row r="9">
      <c r="A9" s="9" t="s">
        <v>20</v>
      </c>
      <c r="B9" s="10">
        <v>640000.0</v>
      </c>
      <c r="C9" s="10">
        <v>880000.0</v>
      </c>
      <c r="D9" s="10">
        <v>1080000.0</v>
      </c>
      <c r="E9" s="10">
        <v>1240000.0</v>
      </c>
      <c r="F9" s="10">
        <v>1520000.0</v>
      </c>
      <c r="G9" s="10">
        <v>1600000.0</v>
      </c>
      <c r="H9" s="10">
        <v>1800000.0</v>
      </c>
      <c r="I9" s="10">
        <v>1880000.0</v>
      </c>
      <c r="J9" s="10">
        <v>1960000.0</v>
      </c>
      <c r="K9" s="11">
        <v>2040000.0</v>
      </c>
      <c r="L9" s="12"/>
      <c r="M9" s="12"/>
      <c r="N9" s="3"/>
      <c r="O9" s="3"/>
      <c r="P9" s="3"/>
      <c r="Q9" s="3"/>
      <c r="R9" s="3"/>
      <c r="S9" s="3"/>
      <c r="T9" s="3"/>
      <c r="U9" s="3"/>
      <c r="V9" s="3"/>
      <c r="W9" s="3"/>
      <c r="X9" s="3"/>
    </row>
    <row r="10">
      <c r="A10" s="16" t="s">
        <v>21</v>
      </c>
      <c r="B10" s="17">
        <f t="shared" ref="B10:K10" si="3">B7-B9</f>
        <v>1429100</v>
      </c>
      <c r="C10" s="17">
        <f t="shared" si="3"/>
        <v>2028620</v>
      </c>
      <c r="D10" s="17">
        <f t="shared" si="3"/>
        <v>2520630</v>
      </c>
      <c r="E10" s="17">
        <f t="shared" si="3"/>
        <v>2953640</v>
      </c>
      <c r="F10" s="17">
        <f t="shared" si="3"/>
        <v>3712150</v>
      </c>
      <c r="G10" s="17">
        <f t="shared" si="3"/>
        <v>3978650</v>
      </c>
      <c r="H10" s="17">
        <f t="shared" si="3"/>
        <v>4570650</v>
      </c>
      <c r="I10" s="17">
        <f t="shared" si="3"/>
        <v>4837150</v>
      </c>
      <c r="J10" s="17">
        <f t="shared" si="3"/>
        <v>5103650</v>
      </c>
      <c r="K10" s="17">
        <f t="shared" si="3"/>
        <v>5370150</v>
      </c>
      <c r="L10" s="3"/>
      <c r="M10" s="3"/>
      <c r="N10" s="3" t="s">
        <v>22</v>
      </c>
      <c r="O10" s="3"/>
      <c r="P10" s="3"/>
      <c r="Q10" s="3"/>
    </row>
    <row r="11">
      <c r="A11" s="19" t="s">
        <v>23</v>
      </c>
      <c r="B11" s="20">
        <f t="shared" ref="B11:K11" si="4">B10/B7</f>
        <v>0.690686772</v>
      </c>
      <c r="C11" s="20">
        <f t="shared" si="4"/>
        <v>0.6974510249</v>
      </c>
      <c r="D11" s="20">
        <f t="shared" si="4"/>
        <v>0.7000524908</v>
      </c>
      <c r="E11" s="20">
        <f t="shared" si="4"/>
        <v>0.7043141519</v>
      </c>
      <c r="F11" s="20">
        <f t="shared" si="4"/>
        <v>0.7094884512</v>
      </c>
      <c r="G11" s="20">
        <f t="shared" si="4"/>
        <v>0.7131922598</v>
      </c>
      <c r="H11" s="20">
        <f t="shared" si="4"/>
        <v>0.7174542629</v>
      </c>
      <c r="I11" s="20">
        <f t="shared" si="4"/>
        <v>0.7201193959</v>
      </c>
      <c r="J11" s="20">
        <f t="shared" si="4"/>
        <v>0.7225230582</v>
      </c>
      <c r="K11" s="20">
        <f t="shared" si="4"/>
        <v>0.7247019291</v>
      </c>
      <c r="L11" s="21"/>
      <c r="M11" s="21"/>
      <c r="N11" s="3" t="s">
        <v>24</v>
      </c>
      <c r="O11" s="3"/>
      <c r="P11" s="3"/>
      <c r="Q11" s="3"/>
    </row>
    <row r="12">
      <c r="A12" s="18"/>
      <c r="B12" s="18"/>
      <c r="C12" s="18"/>
      <c r="D12" s="18"/>
      <c r="E12" s="18"/>
      <c r="F12" s="18"/>
      <c r="G12" s="18"/>
      <c r="H12" s="18"/>
      <c r="I12" s="18"/>
      <c r="J12" s="18"/>
      <c r="K12" s="18"/>
      <c r="L12" s="18"/>
      <c r="M12" s="18"/>
      <c r="N12" s="8" t="s">
        <v>13</v>
      </c>
      <c r="O12" s="22" t="s">
        <v>25</v>
      </c>
      <c r="P12" s="22" t="s">
        <v>26</v>
      </c>
      <c r="Q12" s="22" t="s">
        <v>27</v>
      </c>
    </row>
    <row r="13">
      <c r="A13" s="23" t="s">
        <v>28</v>
      </c>
      <c r="B13" s="18"/>
      <c r="C13" s="18"/>
      <c r="D13" s="18"/>
      <c r="E13" s="18"/>
      <c r="F13" s="18"/>
      <c r="G13" s="18"/>
      <c r="H13" s="18"/>
      <c r="I13" s="18"/>
      <c r="J13" s="18"/>
      <c r="K13" s="18"/>
      <c r="L13" s="18"/>
      <c r="M13" s="18"/>
      <c r="N13" s="8" t="s">
        <v>15</v>
      </c>
      <c r="O13" s="10">
        <v>149000.0</v>
      </c>
      <c r="P13" s="10">
        <v>40000.0</v>
      </c>
      <c r="Q13" s="10">
        <v>109000.0</v>
      </c>
    </row>
    <row r="14">
      <c r="A14" s="9" t="s">
        <v>29</v>
      </c>
      <c r="B14" s="14">
        <v>500000.0</v>
      </c>
      <c r="C14" s="14">
        <v>500000.0</v>
      </c>
      <c r="D14" s="14">
        <v>500000.0</v>
      </c>
      <c r="E14" s="14">
        <v>500000.0</v>
      </c>
      <c r="F14" s="14">
        <v>700000.0</v>
      </c>
      <c r="G14" s="14">
        <v>700000.0</v>
      </c>
      <c r="H14" s="14">
        <v>700000.0</v>
      </c>
      <c r="I14" s="14">
        <v>700000.0</v>
      </c>
      <c r="J14" s="14">
        <v>1000000.0</v>
      </c>
      <c r="K14" s="14">
        <v>1000000.0</v>
      </c>
      <c r="L14" s="15"/>
      <c r="M14" s="15"/>
      <c r="N14" s="8" t="s">
        <v>30</v>
      </c>
      <c r="O14" s="10">
        <v>249000.0</v>
      </c>
      <c r="P14" s="10">
        <v>80000.0</v>
      </c>
      <c r="Q14" s="10">
        <v>169000.0</v>
      </c>
    </row>
    <row r="15">
      <c r="A15" s="9" t="s">
        <v>31</v>
      </c>
      <c r="B15" s="24">
        <v>0.0</v>
      </c>
      <c r="C15" s="24">
        <v>0.0</v>
      </c>
      <c r="D15" s="24">
        <v>0.0</v>
      </c>
      <c r="E15" s="24">
        <v>0.0</v>
      </c>
      <c r="F15" s="24">
        <v>0.0</v>
      </c>
      <c r="G15" s="24">
        <v>0.0</v>
      </c>
      <c r="H15" s="24">
        <v>0.0</v>
      </c>
      <c r="I15" s="24">
        <v>0.0</v>
      </c>
      <c r="J15" s="24">
        <v>0.0</v>
      </c>
      <c r="K15" s="24">
        <v>0.0</v>
      </c>
      <c r="L15" s="18"/>
      <c r="M15" s="18"/>
      <c r="N15" s="8" t="s">
        <v>17</v>
      </c>
      <c r="O15" s="10">
        <v>599000.0</v>
      </c>
      <c r="P15" s="10">
        <v>160000.0</v>
      </c>
      <c r="Q15" s="10">
        <v>439000.0</v>
      </c>
    </row>
    <row r="16">
      <c r="A16" s="9" t="s">
        <v>32</v>
      </c>
      <c r="B16" s="24">
        <v>0.0</v>
      </c>
      <c r="C16" s="24">
        <v>0.0</v>
      </c>
      <c r="D16" s="24">
        <v>0.0</v>
      </c>
      <c r="E16" s="24">
        <v>0.0</v>
      </c>
      <c r="F16" s="24">
        <v>0.0</v>
      </c>
      <c r="G16" s="24">
        <v>0.0</v>
      </c>
      <c r="H16" s="24">
        <v>0.0</v>
      </c>
      <c r="I16" s="24">
        <v>0.0</v>
      </c>
      <c r="J16" s="24">
        <v>0.0</v>
      </c>
      <c r="K16" s="24">
        <v>0.0</v>
      </c>
      <c r="L16" s="18"/>
      <c r="M16" s="18"/>
    </row>
    <row r="17">
      <c r="A17" s="9" t="s">
        <v>33</v>
      </c>
      <c r="B17" s="14">
        <v>360000.0</v>
      </c>
      <c r="C17" s="14">
        <v>360000.0</v>
      </c>
      <c r="D17" s="14">
        <v>360000.0</v>
      </c>
      <c r="E17" s="14">
        <v>360000.0</v>
      </c>
      <c r="F17" s="14">
        <v>360000.0</v>
      </c>
      <c r="G17" s="14">
        <v>360000.0</v>
      </c>
      <c r="H17" s="14">
        <v>360000.0</v>
      </c>
      <c r="I17" s="14">
        <v>360000.0</v>
      </c>
      <c r="J17" s="14">
        <v>360000.0</v>
      </c>
      <c r="K17" s="14">
        <v>360000.0</v>
      </c>
      <c r="L17" s="15"/>
      <c r="M17" s="15"/>
    </row>
    <row r="18">
      <c r="A18" s="9" t="s">
        <v>34</v>
      </c>
      <c r="B18" s="24">
        <v>0.0</v>
      </c>
      <c r="C18" s="24">
        <v>0.0</v>
      </c>
      <c r="D18" s="24">
        <v>0.0</v>
      </c>
      <c r="E18" s="24">
        <v>0.0</v>
      </c>
      <c r="F18" s="24">
        <v>0.0</v>
      </c>
      <c r="G18" s="24">
        <v>0.0</v>
      </c>
      <c r="H18" s="24">
        <v>0.0</v>
      </c>
      <c r="I18" s="24">
        <v>0.0</v>
      </c>
      <c r="J18" s="24">
        <v>0.0</v>
      </c>
      <c r="K18" s="24">
        <v>0.0</v>
      </c>
      <c r="L18" s="18"/>
      <c r="M18" s="18"/>
      <c r="N18" s="5"/>
      <c r="O18" s="6" t="s">
        <v>3</v>
      </c>
      <c r="P18" s="6" t="s">
        <v>4</v>
      </c>
      <c r="Q18" s="6" t="s">
        <v>5</v>
      </c>
      <c r="R18" s="6" t="s">
        <v>6</v>
      </c>
      <c r="S18" s="6" t="s">
        <v>7</v>
      </c>
      <c r="T18" s="6" t="s">
        <v>8</v>
      </c>
      <c r="U18" s="6" t="s">
        <v>9</v>
      </c>
      <c r="V18" s="6" t="s">
        <v>10</v>
      </c>
      <c r="W18" s="6" t="s">
        <v>11</v>
      </c>
      <c r="X18" s="6" t="s">
        <v>12</v>
      </c>
    </row>
    <row r="19">
      <c r="A19" s="9" t="s">
        <v>35</v>
      </c>
      <c r="B19" s="24">
        <v>0.0</v>
      </c>
      <c r="C19" s="24">
        <v>0.0</v>
      </c>
      <c r="D19" s="24">
        <v>0.0</v>
      </c>
      <c r="E19" s="24">
        <v>0.0</v>
      </c>
      <c r="F19" s="24">
        <v>0.0</v>
      </c>
      <c r="G19" s="24">
        <v>0.0</v>
      </c>
      <c r="H19" s="24">
        <v>0.0</v>
      </c>
      <c r="I19" s="24">
        <v>0.0</v>
      </c>
      <c r="J19" s="24">
        <v>0.0</v>
      </c>
      <c r="K19" s="24">
        <v>0.0</v>
      </c>
      <c r="L19" s="18"/>
      <c r="M19" s="18"/>
      <c r="N19" s="8" t="s">
        <v>36</v>
      </c>
      <c r="O19" s="13">
        <v>0.0</v>
      </c>
      <c r="P19" s="13">
        <v>0.0</v>
      </c>
      <c r="Q19" s="13">
        <v>0.0</v>
      </c>
      <c r="R19" s="13">
        <v>0.0</v>
      </c>
      <c r="S19" s="13">
        <v>0.0</v>
      </c>
      <c r="T19" s="13">
        <v>0.0</v>
      </c>
      <c r="U19" s="13">
        <v>0.0</v>
      </c>
      <c r="V19" s="13">
        <v>0.0</v>
      </c>
      <c r="W19" s="13">
        <v>0.0</v>
      </c>
      <c r="X19" s="13">
        <v>0.0</v>
      </c>
    </row>
    <row r="20">
      <c r="A20" s="9" t="s">
        <v>37</v>
      </c>
      <c r="B20" s="24">
        <v>0.0</v>
      </c>
      <c r="C20" s="24">
        <v>0.0</v>
      </c>
      <c r="D20" s="24">
        <v>0.0</v>
      </c>
      <c r="E20" s="24">
        <v>0.0</v>
      </c>
      <c r="F20" s="24">
        <v>0.0</v>
      </c>
      <c r="G20" s="24">
        <v>0.0</v>
      </c>
      <c r="H20" s="24">
        <v>0.0</v>
      </c>
      <c r="I20" s="24">
        <v>0.0</v>
      </c>
      <c r="J20" s="24">
        <v>0.0</v>
      </c>
      <c r="K20" s="24">
        <v>0.0</v>
      </c>
      <c r="L20" s="18"/>
      <c r="M20" s="18"/>
      <c r="N20" s="8" t="s">
        <v>38</v>
      </c>
      <c r="O20" s="10">
        <v>640000.0</v>
      </c>
      <c r="P20" s="10">
        <v>880000.0</v>
      </c>
      <c r="Q20" s="10">
        <v>1080000.0</v>
      </c>
      <c r="R20" s="10">
        <v>1240000.0</v>
      </c>
      <c r="S20" s="10">
        <v>1520000.0</v>
      </c>
      <c r="T20" s="10">
        <v>1600000.0</v>
      </c>
      <c r="U20" s="10">
        <v>1800000.0</v>
      </c>
      <c r="V20" s="10">
        <v>1880000.0</v>
      </c>
      <c r="W20" s="10">
        <v>1960000.0</v>
      </c>
      <c r="X20" s="10">
        <v>2040000.0</v>
      </c>
    </row>
    <row r="21">
      <c r="A21" s="9" t="s">
        <v>39</v>
      </c>
      <c r="B21" s="24">
        <v>0.0</v>
      </c>
      <c r="C21" s="24">
        <v>0.0</v>
      </c>
      <c r="D21" s="24">
        <v>0.0</v>
      </c>
      <c r="E21" s="24">
        <v>0.0</v>
      </c>
      <c r="F21" s="24">
        <v>0.0</v>
      </c>
      <c r="G21" s="24">
        <v>0.0</v>
      </c>
      <c r="H21" s="24">
        <v>0.0</v>
      </c>
      <c r="I21" s="24">
        <v>0.0</v>
      </c>
      <c r="J21" s="24">
        <v>0.0</v>
      </c>
      <c r="K21" s="24">
        <v>0.0</v>
      </c>
      <c r="L21" s="18"/>
      <c r="M21" s="18"/>
      <c r="N21" s="8" t="s">
        <v>40</v>
      </c>
      <c r="O21" s="10">
        <v>640000.0</v>
      </c>
      <c r="P21" s="10">
        <v>880000.0</v>
      </c>
      <c r="Q21" s="10">
        <v>1080000.0</v>
      </c>
      <c r="R21" s="10">
        <v>1240000.0</v>
      </c>
      <c r="S21" s="10">
        <v>1520000.0</v>
      </c>
      <c r="T21" s="10">
        <v>1600000.0</v>
      </c>
      <c r="U21" s="10">
        <v>1800000.0</v>
      </c>
      <c r="V21" s="10">
        <v>1880000.0</v>
      </c>
      <c r="W21" s="10">
        <v>1960000.0</v>
      </c>
      <c r="X21" s="10">
        <v>2040000.0</v>
      </c>
    </row>
    <row r="22">
      <c r="A22" s="9" t="s">
        <v>41</v>
      </c>
      <c r="B22" s="24">
        <v>0.0</v>
      </c>
      <c r="C22" s="24">
        <v>0.0</v>
      </c>
      <c r="D22" s="24">
        <v>0.0</v>
      </c>
      <c r="E22" s="24">
        <v>0.0</v>
      </c>
      <c r="F22" s="24">
        <v>0.0</v>
      </c>
      <c r="G22" s="24">
        <v>0.0</v>
      </c>
      <c r="H22" s="24">
        <v>0.0</v>
      </c>
      <c r="I22" s="24">
        <v>0.0</v>
      </c>
      <c r="J22" s="24">
        <v>0.0</v>
      </c>
      <c r="K22" s="24">
        <v>0.0</v>
      </c>
      <c r="L22" s="18"/>
      <c r="M22" s="18"/>
      <c r="N22" s="3"/>
      <c r="O22" s="3"/>
      <c r="P22" s="3"/>
      <c r="Q22" s="3"/>
      <c r="R22" s="3"/>
      <c r="S22" s="3"/>
      <c r="T22" s="3"/>
      <c r="U22" s="3"/>
      <c r="V22" s="3"/>
      <c r="W22" s="3"/>
      <c r="X22" s="3"/>
    </row>
    <row r="23">
      <c r="A23" s="9" t="s">
        <v>42</v>
      </c>
      <c r="B23" s="24">
        <v>0.0</v>
      </c>
      <c r="C23" s="24">
        <v>0.0</v>
      </c>
      <c r="D23" s="24">
        <v>0.0</v>
      </c>
      <c r="E23" s="24">
        <v>0.0</v>
      </c>
      <c r="F23" s="24">
        <v>0.0</v>
      </c>
      <c r="G23" s="24">
        <v>0.0</v>
      </c>
      <c r="H23" s="24">
        <v>0.0</v>
      </c>
      <c r="I23" s="24">
        <v>0.0</v>
      </c>
      <c r="J23" s="24">
        <v>0.0</v>
      </c>
      <c r="K23" s="24">
        <v>0.0</v>
      </c>
      <c r="L23" s="18"/>
      <c r="M23" s="18"/>
      <c r="N23" s="25" t="s">
        <v>43</v>
      </c>
      <c r="U23" s="3"/>
      <c r="V23" s="3"/>
      <c r="W23" s="3"/>
      <c r="X23" s="3"/>
    </row>
    <row r="24">
      <c r="A24" s="9" t="s">
        <v>44</v>
      </c>
      <c r="B24" s="14">
        <v>1566000.0</v>
      </c>
      <c r="C24" s="14">
        <v>1566000.0</v>
      </c>
      <c r="D24" s="14">
        <v>1566000.0</v>
      </c>
      <c r="E24" s="14">
        <v>1566000.0</v>
      </c>
      <c r="F24" s="14">
        <v>1566000.0</v>
      </c>
      <c r="G24" s="14">
        <v>1566000.0</v>
      </c>
      <c r="H24" s="14">
        <v>1566000.0</v>
      </c>
      <c r="I24" s="14">
        <v>1566000.0</v>
      </c>
      <c r="J24" s="14">
        <v>1566000.0</v>
      </c>
      <c r="K24" s="14">
        <v>1566000.0</v>
      </c>
      <c r="L24" s="15"/>
      <c r="M24" s="15"/>
    </row>
    <row r="25">
      <c r="A25" s="9" t="s">
        <v>45</v>
      </c>
      <c r="B25" s="14">
        <v>90000.0</v>
      </c>
      <c r="C25" s="14">
        <v>90000.0</v>
      </c>
      <c r="D25" s="14">
        <v>90000.0</v>
      </c>
      <c r="E25" s="14">
        <v>90000.0</v>
      </c>
      <c r="F25" s="14">
        <v>90000.0</v>
      </c>
      <c r="G25" s="14">
        <v>90000.0</v>
      </c>
      <c r="H25" s="14">
        <v>90000.0</v>
      </c>
      <c r="I25" s="14">
        <v>90000.0</v>
      </c>
      <c r="J25" s="14">
        <v>90000.0</v>
      </c>
      <c r="K25" s="14">
        <v>90000.0</v>
      </c>
      <c r="L25" s="12"/>
      <c r="M25" s="12"/>
    </row>
    <row r="26">
      <c r="A26" s="26" t="s">
        <v>46</v>
      </c>
      <c r="B26" s="27">
        <f t="shared" ref="B26:K26" si="5">SUM(B14:B25)</f>
        <v>2516000</v>
      </c>
      <c r="C26" s="27">
        <f t="shared" si="5"/>
        <v>2516000</v>
      </c>
      <c r="D26" s="27">
        <f t="shared" si="5"/>
        <v>2516000</v>
      </c>
      <c r="E26" s="27">
        <f t="shared" si="5"/>
        <v>2516000</v>
      </c>
      <c r="F26" s="27">
        <f t="shared" si="5"/>
        <v>2716000</v>
      </c>
      <c r="G26" s="27">
        <f t="shared" si="5"/>
        <v>2716000</v>
      </c>
      <c r="H26" s="27">
        <f t="shared" si="5"/>
        <v>2716000</v>
      </c>
      <c r="I26" s="27">
        <f t="shared" si="5"/>
        <v>2716000</v>
      </c>
      <c r="J26" s="27">
        <f t="shared" si="5"/>
        <v>3016000</v>
      </c>
      <c r="K26" s="27">
        <f t="shared" si="5"/>
        <v>3016000</v>
      </c>
      <c r="L26" s="3"/>
      <c r="M26" s="3"/>
      <c r="N26" s="3"/>
    </row>
    <row r="27">
      <c r="A27" s="16" t="s">
        <v>47</v>
      </c>
      <c r="B27" s="17">
        <f t="shared" ref="B27:K27" si="6">B10-B26</f>
        <v>-1086900</v>
      </c>
      <c r="C27" s="17">
        <f t="shared" si="6"/>
        <v>-487380</v>
      </c>
      <c r="D27" s="17">
        <f t="shared" si="6"/>
        <v>4630</v>
      </c>
      <c r="E27" s="17">
        <f t="shared" si="6"/>
        <v>437640</v>
      </c>
      <c r="F27" s="17">
        <f t="shared" si="6"/>
        <v>996150</v>
      </c>
      <c r="G27" s="17">
        <f t="shared" si="6"/>
        <v>1262650</v>
      </c>
      <c r="H27" s="17">
        <f t="shared" si="6"/>
        <v>1854650</v>
      </c>
      <c r="I27" s="17">
        <f t="shared" si="6"/>
        <v>2121150</v>
      </c>
      <c r="J27" s="17">
        <f t="shared" si="6"/>
        <v>2087650</v>
      </c>
      <c r="K27" s="17">
        <f t="shared" si="6"/>
        <v>2354150</v>
      </c>
      <c r="L27" s="3"/>
      <c r="M27" s="3"/>
      <c r="N27" s="3"/>
    </row>
    <row r="28">
      <c r="A28" s="28" t="s">
        <v>48</v>
      </c>
      <c r="B28" s="29">
        <f t="shared" ref="B28:K28" si="7">B27/B7</f>
        <v>-0.5253008554</v>
      </c>
      <c r="C28" s="29">
        <f t="shared" si="7"/>
        <v>-0.1675639994</v>
      </c>
      <c r="D28" s="29">
        <f t="shared" si="7"/>
        <v>0.001285886081</v>
      </c>
      <c r="E28" s="29">
        <f t="shared" si="7"/>
        <v>0.1043580279</v>
      </c>
      <c r="F28" s="29">
        <f t="shared" si="7"/>
        <v>0.1903901838</v>
      </c>
      <c r="G28" s="29">
        <f t="shared" si="7"/>
        <v>0.2263361207</v>
      </c>
      <c r="H28" s="29">
        <f t="shared" si="7"/>
        <v>0.2911241396</v>
      </c>
      <c r="I28" s="29">
        <f t="shared" si="7"/>
        <v>0.3157812465</v>
      </c>
      <c r="J28" s="29">
        <f t="shared" si="7"/>
        <v>0.2955483355</v>
      </c>
      <c r="K28" s="29">
        <f t="shared" si="7"/>
        <v>0.3176926243</v>
      </c>
      <c r="L28" s="30"/>
      <c r="M28" s="30"/>
      <c r="N28" s="3"/>
    </row>
    <row r="29">
      <c r="A29" s="18"/>
      <c r="B29" s="18"/>
      <c r="C29" s="18"/>
      <c r="D29" s="18"/>
      <c r="E29" s="18"/>
      <c r="F29" s="18"/>
      <c r="G29" s="18"/>
      <c r="H29" s="18"/>
      <c r="I29" s="18"/>
      <c r="J29" s="18"/>
      <c r="K29" s="18"/>
      <c r="L29" s="3"/>
      <c r="M29" s="3"/>
      <c r="N29" s="3"/>
    </row>
    <row r="30">
      <c r="A30" s="9" t="s">
        <v>49</v>
      </c>
      <c r="B30" s="24">
        <v>0.0</v>
      </c>
      <c r="C30" s="24">
        <v>0.0</v>
      </c>
      <c r="D30" s="24">
        <v>0.0</v>
      </c>
      <c r="E30" s="24">
        <v>0.0</v>
      </c>
      <c r="F30" s="24">
        <v>0.0</v>
      </c>
      <c r="G30" s="24">
        <v>0.0</v>
      </c>
      <c r="H30" s="24">
        <v>0.0</v>
      </c>
      <c r="I30" s="24">
        <v>0.0</v>
      </c>
      <c r="J30" s="24">
        <v>0.0</v>
      </c>
      <c r="K30" s="24">
        <v>0.0</v>
      </c>
      <c r="L30" s="3"/>
      <c r="M30" s="3"/>
      <c r="N30" s="3"/>
    </row>
    <row r="31">
      <c r="A31" s="9" t="s">
        <v>50</v>
      </c>
      <c r="B31" s="24">
        <v>0.0</v>
      </c>
      <c r="C31" s="24">
        <v>0.0</v>
      </c>
      <c r="D31" s="24">
        <v>0.0</v>
      </c>
      <c r="E31" s="24">
        <v>0.0</v>
      </c>
      <c r="F31" s="24">
        <v>0.0</v>
      </c>
      <c r="G31" s="24">
        <v>0.0</v>
      </c>
      <c r="H31" s="24">
        <v>0.0</v>
      </c>
      <c r="I31" s="24">
        <v>0.0</v>
      </c>
      <c r="J31" s="24">
        <v>0.0</v>
      </c>
      <c r="K31" s="24">
        <v>0.0</v>
      </c>
      <c r="L31" s="3"/>
      <c r="M31" s="3"/>
      <c r="N31" s="3"/>
    </row>
    <row r="32">
      <c r="A32" s="23" t="s">
        <v>51</v>
      </c>
      <c r="B32" s="31">
        <f t="shared" ref="B32:K32" si="8">B30*B31</f>
        <v>0</v>
      </c>
      <c r="C32" s="31">
        <f t="shared" si="8"/>
        <v>0</v>
      </c>
      <c r="D32" s="31">
        <f t="shared" si="8"/>
        <v>0</v>
      </c>
      <c r="E32" s="31">
        <f t="shared" si="8"/>
        <v>0</v>
      </c>
      <c r="F32" s="31">
        <f t="shared" si="8"/>
        <v>0</v>
      </c>
      <c r="G32" s="31">
        <f t="shared" si="8"/>
        <v>0</v>
      </c>
      <c r="H32" s="31">
        <f t="shared" si="8"/>
        <v>0</v>
      </c>
      <c r="I32" s="31">
        <f t="shared" si="8"/>
        <v>0</v>
      </c>
      <c r="J32" s="31">
        <f t="shared" si="8"/>
        <v>0</v>
      </c>
      <c r="K32" s="31">
        <f t="shared" si="8"/>
        <v>0</v>
      </c>
      <c r="L32" s="3"/>
      <c r="M32" s="3"/>
      <c r="N32" s="3"/>
    </row>
    <row r="33">
      <c r="A33" s="16" t="s">
        <v>52</v>
      </c>
      <c r="B33" s="17">
        <f t="shared" ref="B33:K33" si="9">B27-B32</f>
        <v>-1086900</v>
      </c>
      <c r="C33" s="17">
        <f t="shared" si="9"/>
        <v>-487380</v>
      </c>
      <c r="D33" s="17">
        <f t="shared" si="9"/>
        <v>4630</v>
      </c>
      <c r="E33" s="17">
        <f t="shared" si="9"/>
        <v>437640</v>
      </c>
      <c r="F33" s="17">
        <f t="shared" si="9"/>
        <v>996150</v>
      </c>
      <c r="G33" s="17">
        <f t="shared" si="9"/>
        <v>1262650</v>
      </c>
      <c r="H33" s="17">
        <f t="shared" si="9"/>
        <v>1854650</v>
      </c>
      <c r="I33" s="17">
        <f t="shared" si="9"/>
        <v>2121150</v>
      </c>
      <c r="J33" s="17">
        <f t="shared" si="9"/>
        <v>2087650</v>
      </c>
      <c r="K33" s="17">
        <f t="shared" si="9"/>
        <v>2354150</v>
      </c>
      <c r="L33" s="3"/>
      <c r="M33" s="3"/>
      <c r="N33" s="3"/>
    </row>
    <row r="34">
      <c r="A34" s="32" t="s">
        <v>53</v>
      </c>
      <c r="B34" s="33">
        <f t="shared" ref="B34:K34" si="10">B33/B7</f>
        <v>-0.5253008554</v>
      </c>
      <c r="C34" s="33">
        <f t="shared" si="10"/>
        <v>-0.1675639994</v>
      </c>
      <c r="D34" s="33">
        <f t="shared" si="10"/>
        <v>0.001285886081</v>
      </c>
      <c r="E34" s="33">
        <f t="shared" si="10"/>
        <v>0.1043580279</v>
      </c>
      <c r="F34" s="33">
        <f t="shared" si="10"/>
        <v>0.1903901838</v>
      </c>
      <c r="G34" s="33">
        <f t="shared" si="10"/>
        <v>0.2263361207</v>
      </c>
      <c r="H34" s="33">
        <f t="shared" si="10"/>
        <v>0.2911241396</v>
      </c>
      <c r="I34" s="33">
        <f t="shared" si="10"/>
        <v>0.3157812465</v>
      </c>
      <c r="J34" s="33">
        <f t="shared" si="10"/>
        <v>0.2955483355</v>
      </c>
      <c r="K34" s="33">
        <f t="shared" si="10"/>
        <v>0.3176926243</v>
      </c>
      <c r="L34" s="30"/>
      <c r="M34" s="30"/>
      <c r="N34" s="3"/>
    </row>
    <row r="35">
      <c r="A35" s="18"/>
      <c r="B35" s="18"/>
      <c r="C35" s="18"/>
      <c r="D35" s="18"/>
      <c r="E35" s="18"/>
      <c r="F35" s="18"/>
      <c r="G35" s="18"/>
      <c r="H35" s="18"/>
      <c r="I35" s="18"/>
      <c r="J35" s="18"/>
      <c r="K35" s="18"/>
      <c r="L35" s="3"/>
      <c r="M35" s="3"/>
      <c r="N35" s="3"/>
    </row>
    <row r="36">
      <c r="A36" s="9" t="s">
        <v>54</v>
      </c>
      <c r="B36" s="24">
        <f t="shared" ref="B36:K36" si="11">IF(B33&gt;0,B33*20%,0)</f>
        <v>0</v>
      </c>
      <c r="C36" s="24">
        <f t="shared" si="11"/>
        <v>0</v>
      </c>
      <c r="D36" s="24">
        <f t="shared" si="11"/>
        <v>926</v>
      </c>
      <c r="E36" s="14">
        <f t="shared" si="11"/>
        <v>87528</v>
      </c>
      <c r="F36" s="14">
        <f t="shared" si="11"/>
        <v>199230</v>
      </c>
      <c r="G36" s="14">
        <f t="shared" si="11"/>
        <v>252530</v>
      </c>
      <c r="H36" s="14">
        <f t="shared" si="11"/>
        <v>370930</v>
      </c>
      <c r="I36" s="14">
        <f t="shared" si="11"/>
        <v>424230</v>
      </c>
      <c r="J36" s="14">
        <f t="shared" si="11"/>
        <v>417530</v>
      </c>
      <c r="K36" s="14">
        <f t="shared" si="11"/>
        <v>470830</v>
      </c>
      <c r="L36" s="12"/>
      <c r="M36" s="12"/>
      <c r="N36" s="3"/>
    </row>
    <row r="37">
      <c r="A37" s="34" t="s">
        <v>55</v>
      </c>
      <c r="B37" s="35">
        <f t="shared" ref="B37:K37" si="12">B33-B36</f>
        <v>-1086900</v>
      </c>
      <c r="C37" s="35">
        <f t="shared" si="12"/>
        <v>-487380</v>
      </c>
      <c r="D37" s="35">
        <f t="shared" si="12"/>
        <v>3704</v>
      </c>
      <c r="E37" s="35">
        <f t="shared" si="12"/>
        <v>350112</v>
      </c>
      <c r="F37" s="35">
        <f t="shared" si="12"/>
        <v>796920</v>
      </c>
      <c r="G37" s="35">
        <f t="shared" si="12"/>
        <v>1010120</v>
      </c>
      <c r="H37" s="35">
        <f t="shared" si="12"/>
        <v>1483720</v>
      </c>
      <c r="I37" s="35">
        <f t="shared" si="12"/>
        <v>1696920</v>
      </c>
      <c r="J37" s="35">
        <f t="shared" si="12"/>
        <v>1670120</v>
      </c>
      <c r="K37" s="35">
        <f t="shared" si="12"/>
        <v>1883320</v>
      </c>
      <c r="L37" s="3"/>
      <c r="M37" s="3"/>
      <c r="N37" s="3"/>
    </row>
    <row r="38">
      <c r="A38" s="18"/>
      <c r="B38" s="18"/>
      <c r="C38" s="18"/>
      <c r="D38" s="18"/>
      <c r="E38" s="18"/>
      <c r="F38" s="18"/>
      <c r="G38" s="18"/>
      <c r="H38" s="18"/>
      <c r="I38" s="18"/>
      <c r="J38" s="18"/>
      <c r="K38" s="18"/>
      <c r="L38" s="18"/>
      <c r="M38" s="18"/>
      <c r="N38" s="3"/>
    </row>
    <row r="39">
      <c r="A39" s="18"/>
      <c r="B39" s="18"/>
      <c r="C39" s="18"/>
      <c r="D39" s="18"/>
      <c r="E39" s="18"/>
      <c r="F39" s="18"/>
      <c r="G39" s="18"/>
      <c r="H39" s="18"/>
      <c r="I39" s="18"/>
      <c r="J39" s="18"/>
      <c r="K39" s="18"/>
      <c r="L39" s="18"/>
      <c r="M39" s="18"/>
      <c r="N39" s="3"/>
    </row>
  </sheetData>
  <mergeCells count="1">
    <mergeCell ref="N23:T2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s>
  <sheetData>
    <row r="1">
      <c r="A1" s="8" t="s">
        <v>13</v>
      </c>
      <c r="B1" s="6" t="s">
        <v>3</v>
      </c>
      <c r="C1" s="6" t="s">
        <v>4</v>
      </c>
      <c r="D1" s="6" t="s">
        <v>5</v>
      </c>
      <c r="E1" s="6" t="s">
        <v>6</v>
      </c>
      <c r="F1" s="6" t="s">
        <v>7</v>
      </c>
      <c r="G1" s="6" t="s">
        <v>8</v>
      </c>
      <c r="H1" s="6" t="s">
        <v>9</v>
      </c>
      <c r="I1" s="6" t="s">
        <v>10</v>
      </c>
      <c r="J1" s="6" t="s">
        <v>11</v>
      </c>
      <c r="K1" s="6" t="s">
        <v>12</v>
      </c>
      <c r="L1" s="3"/>
      <c r="M1" s="3"/>
      <c r="N1" s="3"/>
      <c r="O1" s="3"/>
      <c r="P1" s="3"/>
      <c r="Q1" s="3"/>
      <c r="R1" s="3"/>
      <c r="S1" s="3"/>
      <c r="T1" s="3"/>
    </row>
    <row r="2">
      <c r="A2" s="8" t="s">
        <v>15</v>
      </c>
      <c r="B2" s="13">
        <v>4.0</v>
      </c>
      <c r="C2" s="13">
        <v>4.0</v>
      </c>
      <c r="D2" s="13">
        <v>3.0</v>
      </c>
      <c r="E2" s="13">
        <v>3.0</v>
      </c>
      <c r="F2" s="13">
        <v>2.0</v>
      </c>
      <c r="G2" s="13">
        <v>2.0</v>
      </c>
      <c r="H2" s="13">
        <v>1.0</v>
      </c>
      <c r="I2" s="13">
        <v>1.0</v>
      </c>
      <c r="J2" s="13">
        <v>1.0</v>
      </c>
      <c r="K2" s="13">
        <v>1.0</v>
      </c>
      <c r="L2" s="3"/>
      <c r="M2" s="3"/>
      <c r="N2" s="3"/>
      <c r="O2" s="3"/>
      <c r="P2" s="3"/>
      <c r="Q2" s="3"/>
      <c r="R2" s="3"/>
      <c r="S2" s="3"/>
      <c r="T2" s="3"/>
    </row>
    <row r="3">
      <c r="A3" s="8" t="s">
        <v>30</v>
      </c>
      <c r="B3" s="13">
        <v>6.0</v>
      </c>
      <c r="C3" s="13">
        <v>7.0</v>
      </c>
      <c r="D3" s="13">
        <v>8.0</v>
      </c>
      <c r="E3" s="13">
        <v>8.0</v>
      </c>
      <c r="F3" s="13">
        <v>8.0</v>
      </c>
      <c r="G3" s="13">
        <v>7.0</v>
      </c>
      <c r="H3" s="13">
        <v>6.0</v>
      </c>
      <c r="I3" s="13">
        <v>5.0</v>
      </c>
      <c r="J3" s="13">
        <v>4.0</v>
      </c>
      <c r="K3" s="13">
        <v>3.0</v>
      </c>
      <c r="L3" s="3"/>
      <c r="M3" s="3"/>
      <c r="N3" s="3"/>
      <c r="O3" s="3"/>
      <c r="P3" s="3"/>
      <c r="Q3" s="3"/>
      <c r="R3" s="3"/>
      <c r="S3" s="3"/>
      <c r="T3" s="3"/>
    </row>
    <row r="4">
      <c r="A4" s="8" t="s">
        <v>17</v>
      </c>
      <c r="B4" s="13">
        <v>0.0</v>
      </c>
      <c r="C4" s="13">
        <v>1.0</v>
      </c>
      <c r="D4" s="13">
        <v>2.0</v>
      </c>
      <c r="E4" s="13">
        <v>3.0</v>
      </c>
      <c r="F4" s="13">
        <v>5.0</v>
      </c>
      <c r="G4" s="13">
        <v>6.0</v>
      </c>
      <c r="H4" s="13">
        <v>8.0</v>
      </c>
      <c r="I4" s="13">
        <v>9.0</v>
      </c>
      <c r="J4" s="13">
        <v>10.0</v>
      </c>
      <c r="K4" s="13">
        <v>11.0</v>
      </c>
      <c r="L4" s="3"/>
      <c r="M4" s="3"/>
      <c r="N4" s="3"/>
      <c r="O4" s="3"/>
      <c r="P4" s="3"/>
      <c r="Q4" s="3"/>
      <c r="R4" s="3"/>
      <c r="S4" s="3"/>
      <c r="T4" s="3"/>
    </row>
    <row r="5">
      <c r="A5" s="8" t="s">
        <v>19</v>
      </c>
      <c r="B5" s="10">
        <v>2090000.0</v>
      </c>
      <c r="C5" s="10">
        <v>2938000.0</v>
      </c>
      <c r="D5" s="10">
        <v>3637000.0</v>
      </c>
      <c r="E5" s="10">
        <v>4236000.0</v>
      </c>
      <c r="F5" s="10">
        <v>5285000.0</v>
      </c>
      <c r="G5" s="10">
        <v>5635000.0</v>
      </c>
      <c r="H5" s="10">
        <v>6435000.0</v>
      </c>
      <c r="I5" s="10">
        <v>6785000.0</v>
      </c>
      <c r="J5" s="10">
        <v>7135000.0</v>
      </c>
      <c r="K5" s="10">
        <v>7485000.0</v>
      </c>
      <c r="L5" s="12"/>
      <c r="M5" s="12"/>
      <c r="N5" s="3"/>
      <c r="O5" s="3"/>
      <c r="P5" s="3"/>
      <c r="Q5" s="3"/>
      <c r="R5" s="3"/>
      <c r="S5" s="3"/>
      <c r="T5" s="3"/>
    </row>
    <row r="6">
      <c r="A6" s="3"/>
      <c r="B6" s="3"/>
      <c r="C6" s="3"/>
      <c r="D6" s="3"/>
      <c r="E6" s="3"/>
      <c r="F6" s="3"/>
      <c r="G6" s="3"/>
      <c r="H6" s="3"/>
      <c r="I6" s="3"/>
      <c r="J6" s="3"/>
      <c r="K6" s="3"/>
      <c r="L6" s="3"/>
      <c r="M6" s="3"/>
      <c r="N6" s="3"/>
      <c r="O6" s="3"/>
      <c r="P6" s="3" t="s">
        <v>22</v>
      </c>
      <c r="Q6" s="3"/>
      <c r="R6" s="3"/>
      <c r="S6" s="3"/>
      <c r="T6" s="3"/>
    </row>
    <row r="7">
      <c r="A7" s="3"/>
      <c r="B7" s="3"/>
      <c r="C7" s="3"/>
      <c r="D7" s="3"/>
      <c r="E7" s="3"/>
      <c r="F7" s="3"/>
      <c r="G7" s="3"/>
      <c r="H7" s="3"/>
      <c r="I7" s="3"/>
      <c r="J7" s="3"/>
      <c r="K7" s="3"/>
      <c r="L7" s="3"/>
      <c r="M7" s="3"/>
      <c r="N7" s="3"/>
      <c r="O7" s="3"/>
      <c r="P7" s="3" t="s">
        <v>24</v>
      </c>
      <c r="Q7" s="3"/>
      <c r="R7" s="3"/>
      <c r="S7" s="3"/>
      <c r="T7" s="3"/>
    </row>
    <row r="8">
      <c r="A8" s="5"/>
      <c r="B8" s="6" t="s">
        <v>3</v>
      </c>
      <c r="C8" s="6" t="s">
        <v>4</v>
      </c>
      <c r="D8" s="6" t="s">
        <v>5</v>
      </c>
      <c r="E8" s="6" t="s">
        <v>6</v>
      </c>
      <c r="F8" s="6" t="s">
        <v>7</v>
      </c>
      <c r="G8" s="6" t="s">
        <v>8</v>
      </c>
      <c r="H8" s="6" t="s">
        <v>9</v>
      </c>
      <c r="I8" s="6" t="s">
        <v>10</v>
      </c>
      <c r="J8" s="6" t="s">
        <v>11</v>
      </c>
      <c r="K8" s="6" t="s">
        <v>12</v>
      </c>
      <c r="L8" s="3"/>
      <c r="M8" s="3"/>
      <c r="N8" s="3"/>
      <c r="O8" s="3"/>
      <c r="P8" s="8" t="s">
        <v>13</v>
      </c>
      <c r="Q8" s="22" t="s">
        <v>25</v>
      </c>
      <c r="R8" s="22" t="s">
        <v>26</v>
      </c>
      <c r="S8" s="22" t="s">
        <v>27</v>
      </c>
      <c r="T8" s="3"/>
    </row>
    <row r="9">
      <c r="A9" s="8" t="s">
        <v>36</v>
      </c>
      <c r="B9" s="13">
        <v>0.0</v>
      </c>
      <c r="C9" s="13">
        <v>0.0</v>
      </c>
      <c r="D9" s="13">
        <v>0.0</v>
      </c>
      <c r="E9" s="13">
        <v>0.0</v>
      </c>
      <c r="F9" s="13">
        <v>0.0</v>
      </c>
      <c r="G9" s="13">
        <v>0.0</v>
      </c>
      <c r="H9" s="13">
        <v>0.0</v>
      </c>
      <c r="I9" s="13">
        <v>0.0</v>
      </c>
      <c r="J9" s="13">
        <v>0.0</v>
      </c>
      <c r="K9" s="13">
        <v>0.0</v>
      </c>
      <c r="L9" s="3"/>
      <c r="M9" s="3"/>
      <c r="N9" s="3"/>
      <c r="O9" s="3"/>
      <c r="P9" s="8" t="s">
        <v>15</v>
      </c>
      <c r="Q9" s="10">
        <v>149000.0</v>
      </c>
      <c r="R9" s="10">
        <v>40000.0</v>
      </c>
      <c r="S9" s="10">
        <v>109000.0</v>
      </c>
      <c r="T9" s="3"/>
    </row>
    <row r="10">
      <c r="A10" s="8" t="s">
        <v>38</v>
      </c>
      <c r="B10" s="10">
        <v>640000.0</v>
      </c>
      <c r="C10" s="10">
        <v>880000.0</v>
      </c>
      <c r="D10" s="10">
        <v>1080000.0</v>
      </c>
      <c r="E10" s="10">
        <v>1240000.0</v>
      </c>
      <c r="F10" s="10">
        <v>1520000.0</v>
      </c>
      <c r="G10" s="10">
        <v>1600000.0</v>
      </c>
      <c r="H10" s="10">
        <v>1800000.0</v>
      </c>
      <c r="I10" s="10">
        <v>1880000.0</v>
      </c>
      <c r="J10" s="10">
        <v>1960000.0</v>
      </c>
      <c r="K10" s="10">
        <v>2040000.0</v>
      </c>
      <c r="L10" s="12"/>
      <c r="M10" s="12"/>
      <c r="N10" s="3"/>
      <c r="O10" s="3"/>
      <c r="P10" s="8" t="s">
        <v>30</v>
      </c>
      <c r="Q10" s="10">
        <v>249000.0</v>
      </c>
      <c r="R10" s="10">
        <v>80000.0</v>
      </c>
      <c r="S10" s="10">
        <v>169000.0</v>
      </c>
      <c r="T10" s="3"/>
    </row>
    <row r="11">
      <c r="A11" s="8" t="s">
        <v>40</v>
      </c>
      <c r="B11" s="10">
        <v>640000.0</v>
      </c>
      <c r="C11" s="10">
        <v>880000.0</v>
      </c>
      <c r="D11" s="10">
        <v>1080000.0</v>
      </c>
      <c r="E11" s="10">
        <v>1240000.0</v>
      </c>
      <c r="F11" s="10">
        <v>1520000.0</v>
      </c>
      <c r="G11" s="10">
        <v>1600000.0</v>
      </c>
      <c r="H11" s="10">
        <v>1800000.0</v>
      </c>
      <c r="I11" s="10">
        <v>1880000.0</v>
      </c>
      <c r="J11" s="10">
        <v>1960000.0</v>
      </c>
      <c r="K11" s="10">
        <v>2040000.0</v>
      </c>
      <c r="L11" s="12"/>
      <c r="M11" s="12"/>
      <c r="N11" s="3"/>
      <c r="O11" s="3"/>
      <c r="P11" s="8" t="s">
        <v>17</v>
      </c>
      <c r="Q11" s="10">
        <v>599000.0</v>
      </c>
      <c r="R11" s="10">
        <v>160000.0</v>
      </c>
      <c r="S11" s="10">
        <v>439000.0</v>
      </c>
      <c r="T11" s="3"/>
    </row>
    <row r="12">
      <c r="A12" s="3"/>
      <c r="B12" s="3"/>
      <c r="C12" s="3"/>
      <c r="D12" s="3"/>
      <c r="E12" s="3"/>
      <c r="F12" s="3"/>
      <c r="G12" s="3"/>
      <c r="H12" s="3"/>
      <c r="I12" s="3"/>
      <c r="J12" s="3"/>
      <c r="K12" s="3"/>
      <c r="L12" s="3"/>
      <c r="M12" s="3"/>
      <c r="N12" s="3"/>
      <c r="O12" s="3"/>
      <c r="P12" s="3"/>
      <c r="Q12" s="3"/>
      <c r="R12" s="3"/>
      <c r="S12" s="3"/>
      <c r="T12" s="3"/>
    </row>
    <row r="13">
      <c r="A13" s="25" t="s">
        <v>43</v>
      </c>
      <c r="H13" s="3"/>
      <c r="I13" s="3"/>
      <c r="J13" s="3"/>
      <c r="K13" s="3"/>
      <c r="L13" s="3"/>
      <c r="M13" s="3"/>
      <c r="N13" s="3"/>
      <c r="O13" s="3"/>
      <c r="P13" s="3"/>
      <c r="Q13" s="3"/>
      <c r="R13" s="3"/>
      <c r="S13" s="3"/>
      <c r="T13" s="3"/>
    </row>
    <row r="14">
      <c r="A14" s="3"/>
      <c r="B14" s="3"/>
      <c r="C14" s="3"/>
      <c r="D14" s="3"/>
      <c r="E14" s="3"/>
      <c r="F14" s="3"/>
      <c r="G14" s="3"/>
      <c r="H14" s="3"/>
      <c r="I14" s="3"/>
      <c r="J14" s="3"/>
      <c r="K14" s="3"/>
      <c r="L14" s="3"/>
      <c r="M14" s="3"/>
      <c r="N14" s="3"/>
      <c r="O14" s="3"/>
      <c r="P14" s="3"/>
      <c r="Q14" s="3"/>
      <c r="R14" s="3"/>
      <c r="S14" s="3"/>
      <c r="T14" s="3"/>
    </row>
    <row r="15">
      <c r="A15" s="3"/>
      <c r="B15" s="3"/>
      <c r="C15" s="3"/>
      <c r="D15" s="3"/>
      <c r="E15" s="3"/>
      <c r="F15" s="3"/>
      <c r="G15" s="3"/>
      <c r="H15" s="3"/>
      <c r="I15" s="3"/>
      <c r="J15" s="3"/>
      <c r="K15" s="3"/>
      <c r="L15" s="3"/>
      <c r="M15" s="3"/>
      <c r="N15" s="3"/>
      <c r="O15" s="3"/>
      <c r="P15" s="3"/>
      <c r="Q15" s="3"/>
      <c r="R15" s="3"/>
      <c r="S15" s="3"/>
      <c r="T15" s="3"/>
    </row>
  </sheetData>
  <mergeCells count="1">
    <mergeCell ref="A13:G13"/>
  </mergeCells>
  <drawing r:id="rId1"/>
</worksheet>
</file>