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mp;L" sheetId="1" r:id="rId5"/>
    <sheet state="visible" name="Charts" sheetId="2" r:id="rId6"/>
  </sheets>
  <definedNames/>
  <calcPr/>
</workbook>
</file>

<file path=xl/sharedStrings.xml><?xml version="1.0" encoding="utf-8"?>
<sst xmlns="http://schemas.openxmlformats.org/spreadsheetml/2006/main" count="111" uniqueCount="85">
  <si>
    <t>NEXUS</t>
  </si>
  <si>
    <t>Profit and Loss (P&amp;L) Statement</t>
  </si>
  <si>
    <t>Unit: VND</t>
  </si>
  <si>
    <t>Fall 2026</t>
  </si>
  <si>
    <t>Spring 2027</t>
  </si>
  <si>
    <t>Summer 2027</t>
  </si>
  <si>
    <t>Fall 2027</t>
  </si>
  <si>
    <t>Spring 2028</t>
  </si>
  <si>
    <t>Summer 2028</t>
  </si>
  <si>
    <t>Fall 2028</t>
  </si>
  <si>
    <t>Spring 2029</t>
  </si>
  <si>
    <t>Summer 2029</t>
  </si>
  <si>
    <t>Fall 2029</t>
  </si>
  <si>
    <t>Revenue Stream 1 - Audit</t>
  </si>
  <si>
    <t>Gói</t>
  </si>
  <si>
    <t>Revenue Stream 2 - Audit &amp; Review</t>
  </si>
  <si>
    <t>Audit</t>
  </si>
  <si>
    <t>Revenue Stream 3 - Continuous Support</t>
  </si>
  <si>
    <t>Audit &amp; Review</t>
  </si>
  <si>
    <t>Gross Revenue</t>
  </si>
  <si>
    <t>Continuous Support</t>
  </si>
  <si>
    <t>Returns, Refunds, Discounts (1%)</t>
  </si>
  <si>
    <t>Total Net Revenue</t>
  </si>
  <si>
    <t>Nhóm giả định:</t>
  </si>
  <si>
    <t>Cost of Goods Sold</t>
  </si>
  <si>
    <t>Chi phí reviewer = 80.000 VNĐ/giờ</t>
  </si>
  <si>
    <t>Gross Profit</t>
  </si>
  <si>
    <t>Giá bán</t>
  </si>
  <si>
    <t>COGS/nhóm</t>
  </si>
  <si>
    <t>Gross Profit/nhóm</t>
  </si>
  <si>
    <t>Gross Profit Margin %</t>
  </si>
  <si>
    <t>Expenses</t>
  </si>
  <si>
    <t>Advertising &amp; Promotion</t>
  </si>
  <si>
    <t>Depreciation &amp; Amortization</t>
  </si>
  <si>
    <t>Insurance</t>
  </si>
  <si>
    <t>Maintenance</t>
  </si>
  <si>
    <t>Fixed COGS</t>
  </si>
  <si>
    <t>Office Supplies</t>
  </si>
  <si>
    <t>Reviewer Cost (Variable COGS)</t>
  </si>
  <si>
    <t>Rent</t>
  </si>
  <si>
    <t>COGS</t>
  </si>
  <si>
    <t>Salaries, Benefits &amp; Wages</t>
  </si>
  <si>
    <t>Telecommunication</t>
  </si>
  <si>
    <t>Trong giai đoạn đầu, Founder trực tiếp thực hiện dịch vụ theo hình thức Sweat Equity (không nhận lương). Tuy nhiên, nhóm vẫn ghi nhận chi phí reviewer vào COGS theo mức chi phí lao động dự kiến nhằm phản ánh đúng giá thành dịch vụ khi Nexus mở rộng và thuê reviewer trong tương lai.</t>
  </si>
  <si>
    <t>Travel</t>
  </si>
  <si>
    <t>Utilities</t>
  </si>
  <si>
    <t>Other Expense 1 (ChatGPT Plus)</t>
  </si>
  <si>
    <t>Other Expense 2 (Domain)</t>
  </si>
  <si>
    <t>Total Expenses</t>
  </si>
  <si>
    <t>Key Financial Metrics</t>
  </si>
  <si>
    <t>Giá trị</t>
  </si>
  <si>
    <t>Financial Assumptions</t>
  </si>
  <si>
    <t>Earnings Before Interest &amp; Taxes (EBIT)</t>
  </si>
  <si>
    <t>Operating Break-even (EBIT &gt; 0)</t>
  </si>
  <si>
    <t>Refund Rate</t>
  </si>
  <si>
    <t>Ebit margin %</t>
  </si>
  <si>
    <t>Cumulative Break-even (Payback)</t>
  </si>
  <si>
    <t>Reviewer Cost</t>
  </si>
  <si>
    <t>80,000 VNĐ/giờ</t>
  </si>
  <si>
    <t>Maximum Cumulative Loss</t>
  </si>
  <si>
    <t>1,574,280 VNĐ</t>
  </si>
  <si>
    <t>Corporate Tax</t>
  </si>
  <si>
    <t>Loan (Outstanding debt)</t>
  </si>
  <si>
    <t>Payback Period</t>
  </si>
  <si>
    <t>6 học kỳ (~2 năm)</t>
  </si>
  <si>
    <t>ChatGPT Plus</t>
  </si>
  <si>
    <t>1,566,000 VNĐ/học kỳ</t>
  </si>
  <si>
    <t>Interest rate (%/Quarter)</t>
  </si>
  <si>
    <t>IRR</t>
  </si>
  <si>
    <t>N/A (IRR chưa được tính do dự án chưa có dòng tiền đầu tư và dòng tiền hoạt động đầy đủ.)</t>
  </si>
  <si>
    <t>Domain Cost</t>
  </si>
  <si>
    <t>90,000 VNĐ/học kỳ</t>
  </si>
  <si>
    <t>Interest Expense</t>
  </si>
  <si>
    <t>Founder Salary</t>
  </si>
  <si>
    <t>0 VNĐ (Sweat Equity)</t>
  </si>
  <si>
    <t>Earnings Before Taxes (EBT)</t>
  </si>
  <si>
    <t>Loan</t>
  </si>
  <si>
    <t>Không có</t>
  </si>
  <si>
    <t>EBT margin %</t>
  </si>
  <si>
    <t>Corporate Taxes (20%)</t>
  </si>
  <si>
    <t>Net Earnings</t>
  </si>
  <si>
    <t>Break-even Analysis</t>
  </si>
  <si>
    <t>Cumulative Net Earnings</t>
  </si>
  <si>
    <t>Cumulative Loss</t>
  </si>
  <si>
    <t>Maximum Cumulative Loss = 1.574.280 VNĐ (Spring 2027)</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</si>
</sst>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4.0"/>
      <color rgb="FF000000"/>
      <name val="Times New Roman"/>
    </font>
    <font>
      <color rgb="FF000000"/>
      <name val="Times New Roman"/>
    </font>
    <font>
      <color theme="1"/>
      <name val="Times New Roman"/>
    </font>
    <font>
      <b/>
      <color rgb="FF000000"/>
      <name val="Times New Roman"/>
    </font>
    <font>
      <color rgb="FFFFFFFF"/>
      <name val="Times New Roman"/>
    </font>
    <font>
      <b/>
      <color rgb="FFFFFFFF"/>
      <name val="Times New Roman"/>
    </font>
    <font>
      <b/>
      <color theme="1"/>
      <name val="Times New Roman"/>
    </font>
    <font>
      <i/>
      <color theme="1"/>
      <name val="Times New Roman"/>
    </font>
    <font>
      <i/>
      <sz val="11.0"/>
      <color theme="1"/>
      <name val="Times New Roman"/>
    </font>
    <font/>
  </fonts>
  <fills count="5">
    <fill>
      <patternFill patternType="none"/>
    </fill>
    <fill>
      <patternFill patternType="lightGray"/>
    </fill>
    <fill>
      <patternFill patternType="solid">
        <fgColor rgb="FF20124D"/>
        <bgColor rgb="FF20124D"/>
      </patternFill>
    </fill>
    <fill>
      <patternFill patternType="solid">
        <fgColor rgb="FFFFFFFF"/>
        <bgColor rgb="FFFFFFFF"/>
      </patternFill>
    </fill>
    <fill>
      <patternFill patternType="solid">
        <fgColor rgb="FFD8D8D8"/>
        <bgColor rgb="FFD8D8D8"/>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bottom style="thin">
        <color rgb="FF000000"/>
      </bottom>
    </border>
    <border>
      <right style="thin">
        <color rgb="FF000000"/>
      </right>
      <bottom style="thin">
        <color rgb="FF000000"/>
      </bottom>
    </border>
    <border>
      <left style="thin">
        <color rgb="FF000000"/>
      </left>
    </border>
    <border>
      <right style="thin">
        <color rgb="FF000000"/>
      </right>
      <top style="thin">
        <color rgb="FF000000"/>
      </top>
    </border>
    <border>
      <right style="thin">
        <color rgb="FF000000"/>
      </right>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0" fillId="0" fontId="3" numFmtId="0" xfId="0" applyFont="1"/>
    <xf borderId="0" fillId="0" fontId="4" numFmtId="0" xfId="0" applyAlignment="1" applyFont="1">
      <alignment vertical="bottom"/>
    </xf>
    <xf borderId="1" fillId="2" fontId="5" numFmtId="0" xfId="0" applyAlignment="1" applyBorder="1" applyFill="1" applyFont="1">
      <alignment vertical="bottom"/>
    </xf>
    <xf borderId="2" fillId="2" fontId="6" numFmtId="0" xfId="0" applyAlignment="1" applyBorder="1" applyFont="1">
      <alignment horizontal="center" vertical="bottom"/>
    </xf>
    <xf borderId="3" fillId="2" fontId="6" numFmtId="0" xfId="0" applyAlignment="1" applyBorder="1" applyFont="1">
      <alignment horizontal="center" vertical="bottom"/>
    </xf>
    <xf borderId="0" fillId="3" fontId="3" numFmtId="0" xfId="0" applyAlignment="1" applyFill="1" applyFont="1">
      <alignment readingOrder="0" vertical="bottom"/>
    </xf>
    <xf borderId="4" fillId="0" fontId="3" numFmtId="3" xfId="0" applyAlignment="1" applyBorder="1" applyFont="1" applyNumberFormat="1">
      <alignment horizontal="right" readingOrder="0" vertical="bottom"/>
    </xf>
    <xf borderId="0" fillId="0" fontId="3" numFmtId="3" xfId="0" applyAlignment="1" applyFont="1" applyNumberFormat="1">
      <alignment vertical="bottom"/>
    </xf>
    <xf borderId="1" fillId="2" fontId="6" numFmtId="0" xfId="0" applyAlignment="1" applyBorder="1" applyFont="1">
      <alignment vertical="bottom"/>
    </xf>
    <xf borderId="1" fillId="2" fontId="6" numFmtId="0" xfId="0" applyAlignment="1" applyBorder="1" applyFont="1">
      <alignment horizontal="center" vertical="bottom"/>
    </xf>
    <xf borderId="0" fillId="0" fontId="3" numFmtId="3" xfId="0" applyAlignment="1" applyFont="1" applyNumberFormat="1">
      <alignment horizontal="right" readingOrder="0" vertical="bottom"/>
    </xf>
    <xf borderId="1" fillId="0" fontId="7" numFmtId="0" xfId="0" applyAlignment="1" applyBorder="1" applyFont="1">
      <alignment vertical="bottom"/>
    </xf>
    <xf borderId="1" fillId="0" fontId="3" numFmtId="0" xfId="0" applyAlignment="1" applyBorder="1" applyFont="1">
      <alignment horizontal="right" vertical="bottom"/>
    </xf>
    <xf borderId="0" fillId="0" fontId="3" numFmtId="3" xfId="0" applyAlignment="1" applyFont="1" applyNumberFormat="1">
      <alignment horizontal="right" vertical="bottom"/>
    </xf>
    <xf borderId="2" fillId="0" fontId="7" numFmtId="0" xfId="0" applyAlignment="1" applyBorder="1" applyFont="1">
      <alignment vertical="bottom"/>
    </xf>
    <xf borderId="2" fillId="0" fontId="3" numFmtId="0" xfId="0" applyAlignment="1" applyBorder="1" applyFont="1">
      <alignment horizontal="right" vertical="bottom"/>
    </xf>
    <xf borderId="0" fillId="3" fontId="3" numFmtId="0" xfId="0" applyAlignment="1" applyFont="1">
      <alignment vertical="bottom"/>
    </xf>
    <xf borderId="0" fillId="3" fontId="3" numFmtId="3" xfId="0" applyAlignment="1" applyFont="1" applyNumberFormat="1">
      <alignment horizontal="right" vertical="bottom"/>
    </xf>
    <xf borderId="0" fillId="3" fontId="3" numFmtId="3" xfId="0" applyAlignment="1" applyFont="1" applyNumberFormat="1">
      <alignment vertical="bottom"/>
    </xf>
    <xf borderId="4" fillId="0" fontId="3" numFmtId="0" xfId="0" applyBorder="1" applyFont="1"/>
    <xf borderId="4" fillId="4" fontId="7" numFmtId="0" xfId="0" applyAlignment="1" applyBorder="1" applyFill="1" applyFont="1">
      <alignment vertical="bottom"/>
    </xf>
    <xf borderId="4" fillId="4" fontId="7" numFmtId="3" xfId="0" applyAlignment="1" applyBorder="1" applyFont="1" applyNumberFormat="1">
      <alignment horizontal="right" vertical="bottom"/>
    </xf>
    <xf borderId="0" fillId="0" fontId="7" numFmtId="0" xfId="0" applyAlignment="1" applyFont="1">
      <alignment vertical="bottom"/>
    </xf>
    <xf borderId="5" fillId="0" fontId="3" numFmtId="3" xfId="0" applyAlignment="1" applyBorder="1" applyFont="1" applyNumberFormat="1">
      <alignment horizontal="right" vertical="bottom"/>
    </xf>
    <xf borderId="0" fillId="4" fontId="7" numFmtId="3" xfId="0" applyAlignment="1" applyFont="1" applyNumberFormat="1">
      <alignment horizontal="right" vertical="bottom"/>
    </xf>
    <xf borderId="1" fillId="2" fontId="6" numFmtId="0" xfId="0" applyAlignment="1" applyBorder="1" applyFont="1">
      <alignment horizontal="right" vertical="bottom"/>
    </xf>
    <xf borderId="0" fillId="3" fontId="8" numFmtId="0" xfId="0" applyAlignment="1" applyFont="1">
      <alignment vertical="bottom"/>
    </xf>
    <xf borderId="0" fillId="3" fontId="3" numFmtId="10" xfId="0" applyAlignment="1" applyFont="1" applyNumberFormat="1">
      <alignment horizontal="right" vertical="bottom"/>
    </xf>
    <xf borderId="0" fillId="3" fontId="3" numFmtId="10" xfId="0" applyAlignment="1" applyFont="1" applyNumberFormat="1">
      <alignment vertical="bottom"/>
    </xf>
    <xf borderId="1" fillId="0" fontId="3" numFmtId="3" xfId="0" applyAlignment="1" applyBorder="1" applyFont="1" applyNumberFormat="1">
      <alignment horizontal="right" vertical="bottom"/>
    </xf>
    <xf borderId="0" fillId="3" fontId="7" numFmtId="0" xfId="0" applyAlignment="1" applyFont="1">
      <alignment vertical="bottom"/>
    </xf>
    <xf borderId="0" fillId="3" fontId="3" numFmtId="0" xfId="0" applyAlignment="1" applyFont="1">
      <alignment horizontal="right" vertical="bottom"/>
    </xf>
    <xf borderId="1" fillId="4" fontId="7" numFmtId="0" xfId="0" applyAlignment="1" applyBorder="1" applyFont="1">
      <alignment vertical="bottom"/>
    </xf>
    <xf borderId="1" fillId="4" fontId="3" numFmtId="3" xfId="0" applyAlignment="1" applyBorder="1" applyFont="1" applyNumberFormat="1">
      <alignment horizontal="right" vertical="bottom"/>
    </xf>
    <xf borderId="0" fillId="0" fontId="9" numFmtId="0" xfId="0" applyAlignment="1" applyFont="1">
      <alignment shrinkToFit="0" vertical="center" wrapText="1"/>
    </xf>
    <xf borderId="4" fillId="3" fontId="3" numFmtId="0" xfId="0" applyAlignment="1" applyBorder="1" applyFont="1">
      <alignment vertical="bottom"/>
    </xf>
    <xf borderId="4" fillId="3" fontId="3" numFmtId="3" xfId="0" applyAlignment="1" applyBorder="1" applyFont="1" applyNumberFormat="1">
      <alignment horizontal="right" vertical="bottom"/>
    </xf>
    <xf borderId="6" fillId="2" fontId="6" numFmtId="0" xfId="0" applyAlignment="1" applyBorder="1" applyFont="1">
      <alignment horizontal="left" readingOrder="0" vertical="bottom"/>
    </xf>
    <xf borderId="5" fillId="2" fontId="6" numFmtId="0" xfId="0" applyAlignment="1" applyBorder="1" applyFont="1">
      <alignment readingOrder="0"/>
    </xf>
    <xf borderId="5" fillId="0" fontId="10" numFmtId="0" xfId="0" applyBorder="1" applyFont="1"/>
    <xf borderId="0" fillId="2" fontId="6" numFmtId="0" xfId="0" applyAlignment="1" applyFont="1">
      <alignment readingOrder="0"/>
    </xf>
    <xf borderId="0" fillId="0" fontId="7" numFmtId="0" xfId="0" applyAlignment="1" applyFont="1">
      <alignment readingOrder="0"/>
    </xf>
    <xf borderId="7" fillId="0" fontId="3" numFmtId="0" xfId="0" applyAlignment="1" applyBorder="1" applyFont="1">
      <alignment readingOrder="0"/>
    </xf>
    <xf borderId="8" fillId="0" fontId="7" numFmtId="0" xfId="0" applyAlignment="1" applyBorder="1" applyFont="1">
      <alignment readingOrder="0"/>
    </xf>
    <xf borderId="4" fillId="0" fontId="3" numFmtId="9" xfId="0" applyAlignment="1" applyBorder="1" applyFont="1" applyNumberFormat="1">
      <alignment horizontal="right" readingOrder="0"/>
    </xf>
    <xf borderId="4" fillId="0" fontId="10" numFmtId="0" xfId="0" applyBorder="1" applyFont="1"/>
    <xf borderId="0" fillId="3" fontId="8" numFmtId="0" xfId="0" applyAlignment="1" applyFont="1">
      <alignment horizontal="right" vertical="bottom"/>
    </xf>
    <xf borderId="0" fillId="3" fontId="8" numFmtId="10" xfId="0" applyAlignment="1" applyFont="1" applyNumberFormat="1">
      <alignment horizontal="right" vertical="bottom"/>
    </xf>
    <xf borderId="0" fillId="0" fontId="3" numFmtId="10" xfId="0" applyAlignment="1" applyFont="1" applyNumberFormat="1">
      <alignment vertical="bottom"/>
    </xf>
    <xf borderId="9" fillId="0" fontId="7" numFmtId="0" xfId="0" applyAlignment="1" applyBorder="1" applyFont="1">
      <alignment horizontal="left" readingOrder="0" vertical="bottom"/>
    </xf>
    <xf borderId="0" fillId="0" fontId="3" numFmtId="0" xfId="0" applyAlignment="1" applyFont="1">
      <alignment readingOrder="0"/>
    </xf>
    <xf borderId="9" fillId="0" fontId="7" numFmtId="0" xfId="0" applyAlignment="1" applyBorder="1" applyFont="1">
      <alignment readingOrder="0"/>
    </xf>
    <xf borderId="0" fillId="0" fontId="3" numFmtId="0" xfId="0" applyAlignment="1" applyFont="1">
      <alignment horizontal="right" readingOrder="0"/>
    </xf>
    <xf borderId="0" fillId="0" fontId="3" numFmtId="3" xfId="0" applyAlignment="1" applyFont="1" applyNumberFormat="1">
      <alignment readingOrder="0"/>
    </xf>
    <xf borderId="0" fillId="0" fontId="3" numFmtId="9" xfId="0" applyAlignment="1" applyFont="1" applyNumberFormat="1">
      <alignment horizontal="right" readingOrder="0"/>
    </xf>
    <xf borderId="9" fillId="0" fontId="7" numFmtId="0" xfId="0" applyAlignment="1" applyBorder="1" applyFont="1">
      <alignment horizontal="left" readingOrder="0" textRotation="0" vertical="center"/>
    </xf>
    <xf borderId="0" fillId="0" fontId="8" numFmtId="0" xfId="0" applyAlignment="1" applyFont="1">
      <alignment readingOrder="0" shrinkToFit="0" vertical="top" wrapText="1"/>
    </xf>
    <xf borderId="0" fillId="3" fontId="7" numFmtId="0" xfId="0" applyAlignment="1" applyFont="1">
      <alignment horizontal="right" vertical="bottom"/>
    </xf>
    <xf borderId="9" fillId="0" fontId="10" numFmtId="0" xfId="0" applyBorder="1" applyFont="1"/>
    <xf borderId="0" fillId="4" fontId="8" numFmtId="0" xfId="0" applyAlignment="1" applyFont="1">
      <alignment horizontal="right" vertical="bottom"/>
    </xf>
    <xf borderId="0" fillId="4" fontId="8" numFmtId="10" xfId="0" applyAlignment="1" applyFont="1" applyNumberFormat="1">
      <alignment horizontal="right" vertical="bottom"/>
    </xf>
    <xf borderId="4" fillId="3" fontId="7" numFmtId="0" xfId="0" applyAlignment="1" applyBorder="1" applyFont="1">
      <alignment vertical="bottom"/>
    </xf>
    <xf borderId="4" fillId="3" fontId="7" numFmtId="3" xfId="0" applyAlignment="1" applyBorder="1" applyFont="1" applyNumberFormat="1">
      <alignment horizontal="right" vertical="bottom"/>
    </xf>
    <xf borderId="5" fillId="3" fontId="7" numFmtId="0" xfId="0" applyAlignment="1" applyBorder="1" applyFont="1">
      <alignment readingOrder="0" vertical="bottom"/>
    </xf>
    <xf borderId="5" fillId="3" fontId="3" numFmtId="0" xfId="0" applyAlignment="1" applyBorder="1" applyFont="1">
      <alignment vertical="bottom"/>
    </xf>
    <xf borderId="0" fillId="0" fontId="7" numFmtId="3" xfId="0" applyFont="1" applyNumberFormat="1"/>
    <xf borderId="0" fillId="0" fontId="3" numFmtId="3" xfId="0" applyFont="1" applyNumberFormat="1"/>
    <xf borderId="0" fillId="0"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sans-serif"/>
              </a:defRPr>
            </a:pPr>
            <a:r>
              <a:rPr b="1">
                <a:solidFill>
                  <a:srgbClr val="000000"/>
                </a:solidFill>
                <a:latin typeface="sans-serif"/>
              </a:rPr>
              <a:t>Cost Forecast</a:t>
            </a:r>
          </a:p>
        </c:rich>
      </c:tx>
      <c:overlay val="0"/>
    </c:title>
    <c:plotArea>
      <c:layout/>
      <c:barChart>
        <c:barDir val="col"/>
        <c:ser>
          <c:idx val="0"/>
          <c:order val="0"/>
          <c:tx>
            <c:strRef>
              <c:f>'P&amp;L'!$A$12</c:f>
            </c:strRef>
          </c:tx>
          <c:spPr>
            <a:solidFill>
              <a:schemeClr val="accent1"/>
            </a:solidFill>
            <a:ln cmpd="sng">
              <a:noFill/>
            </a:ln>
          </c:spPr>
          <c:cat>
            <c:strRef>
              <c:f>'P&amp;L'!$B$4:$K$4</c:f>
            </c:strRef>
          </c:cat>
          <c:val>
            <c:numRef>
              <c:f>'P&amp;L'!$B$12:$K$12</c:f>
              <c:numCache/>
            </c:numRef>
          </c:val>
        </c:ser>
        <c:ser>
          <c:idx val="1"/>
          <c:order val="1"/>
          <c:tx>
            <c:strRef>
              <c:f>'P&amp;L'!$A$29</c:f>
            </c:strRef>
          </c:tx>
          <c:spPr>
            <a:solidFill>
              <a:schemeClr val="accent2"/>
            </a:solidFill>
            <a:ln cmpd="sng">
              <a:noFill/>
            </a:ln>
          </c:spPr>
          <c:cat>
            <c:strRef>
              <c:f>'P&amp;L'!$B$4:$K$4</c:f>
            </c:strRef>
          </c:cat>
          <c:val>
            <c:numRef>
              <c:f>'P&amp;L'!$B$29:$K$29</c:f>
              <c:numCache/>
            </c:numRef>
          </c:val>
        </c:ser>
        <c:axId val="175304737"/>
        <c:axId val="1456174951"/>
      </c:barChart>
      <c:catAx>
        <c:axId val="1753047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1">
                <a:solidFill>
                  <a:srgbClr val="000000"/>
                </a:solidFill>
                <a:latin typeface="+mn-lt"/>
              </a:defRPr>
            </a:pPr>
          </a:p>
        </c:txPr>
        <c:crossAx val="1456174951"/>
      </c:catAx>
      <c:valAx>
        <c:axId val="14561749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1">
                <a:solidFill>
                  <a:srgbClr val="000000"/>
                </a:solidFill>
                <a:latin typeface="+mn-lt"/>
              </a:defRPr>
            </a:pPr>
          </a:p>
        </c:txPr>
        <c:crossAx val="175304737"/>
      </c:valAx>
    </c:plotArea>
    <c:legend>
      <c:legendPos val="r"/>
      <c:overlay val="0"/>
      <c:txPr>
        <a:bodyPr/>
        <a:lstStyle/>
        <a:p>
          <a:pPr lvl="0">
            <a:defRPr b="1">
              <a:solidFill>
                <a:srgbClr val="000000"/>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sans-serif"/>
              </a:defRPr>
            </a:pPr>
            <a:r>
              <a:rPr b="1">
                <a:solidFill>
                  <a:srgbClr val="000000"/>
                </a:solidFill>
                <a:latin typeface="sans-serif"/>
              </a:rPr>
              <a:t>Net Revenue Forecast</a:t>
            </a:r>
          </a:p>
        </c:rich>
      </c:tx>
      <c:overlay val="0"/>
    </c:title>
    <c:plotArea>
      <c:layout/>
      <c:lineChart>
        <c:varyColors val="0"/>
        <c:ser>
          <c:idx val="0"/>
          <c:order val="0"/>
          <c:tx>
            <c:strRef>
              <c:f>'P&amp;L'!$A$10</c:f>
            </c:strRef>
          </c:tx>
          <c:spPr>
            <a:ln cmpd="sng">
              <a:solidFill>
                <a:srgbClr val="4285F4"/>
              </a:solidFill>
            </a:ln>
          </c:spPr>
          <c:marker>
            <c:symbol val="circle"/>
            <c:size val="10"/>
            <c:spPr>
              <a:solidFill>
                <a:srgbClr val="4285F4"/>
              </a:solidFill>
              <a:ln cmpd="sng">
                <a:solidFill>
                  <a:srgbClr val="4285F4"/>
                </a:solidFill>
              </a:ln>
            </c:spPr>
          </c:marker>
          <c:cat>
            <c:strRef>
              <c:f>'P&amp;L'!$B$4:$K$4</c:f>
            </c:strRef>
          </c:cat>
          <c:val>
            <c:numRef>
              <c:f>'P&amp;L'!$B$10:$K$10</c:f>
              <c:numCache/>
            </c:numRef>
          </c:val>
          <c:smooth val="0"/>
        </c:ser>
        <c:axId val="257391091"/>
        <c:axId val="1753526882"/>
      </c:lineChart>
      <c:catAx>
        <c:axId val="2573910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1">
                <a:solidFill>
                  <a:srgbClr val="000000"/>
                </a:solidFill>
                <a:latin typeface="sans-serif"/>
              </a:defRPr>
            </a:pPr>
          </a:p>
        </c:txPr>
        <c:crossAx val="1753526882"/>
      </c:catAx>
      <c:valAx>
        <c:axId val="17535268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1">
                <a:solidFill>
                  <a:srgbClr val="000000"/>
                </a:solidFill>
                <a:latin typeface="+mn-lt"/>
              </a:defRPr>
            </a:pPr>
          </a:p>
        </c:txPr>
        <c:crossAx val="257391091"/>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00000"/>
                </a:solidFill>
                <a:latin typeface="sans-serif"/>
              </a:defRPr>
            </a:pPr>
            <a:r>
              <a:rPr b="1">
                <a:solidFill>
                  <a:srgbClr val="000000"/>
                </a:solidFill>
                <a:latin typeface="sans-serif"/>
              </a:rPr>
              <a:t>Net Earnings Forecast</a:t>
            </a:r>
          </a:p>
        </c:rich>
      </c:tx>
      <c:overlay val="0"/>
    </c:title>
    <c:plotArea>
      <c:layout/>
      <c:lineChart>
        <c:varyColors val="0"/>
        <c:ser>
          <c:idx val="0"/>
          <c:order val="0"/>
          <c:tx>
            <c:strRef>
              <c:f>'P&amp;L'!$A$40</c:f>
            </c:strRef>
          </c:tx>
          <c:spPr>
            <a:ln cmpd="sng">
              <a:solidFill>
                <a:srgbClr val="4285F4"/>
              </a:solidFill>
            </a:ln>
          </c:spPr>
          <c:marker>
            <c:symbol val="circle"/>
            <c:size val="10"/>
            <c:spPr>
              <a:solidFill>
                <a:srgbClr val="4285F4"/>
              </a:solidFill>
              <a:ln cmpd="sng">
                <a:solidFill>
                  <a:srgbClr val="4285F4"/>
                </a:solidFill>
              </a:ln>
            </c:spPr>
          </c:marker>
          <c:dPt>
            <c:idx val="8"/>
            <c:marker>
              <c:symbol val="none"/>
            </c:marker>
          </c:dPt>
          <c:dPt>
            <c:idx val="9"/>
            <c:marker>
              <c:symbol val="none"/>
            </c:marker>
          </c:dPt>
          <c:cat>
            <c:strRef>
              <c:f>'P&amp;L'!$B$4:$K$4</c:f>
            </c:strRef>
          </c:cat>
          <c:val>
            <c:numRef>
              <c:f>'P&amp;L'!$B$40:$K$40</c:f>
              <c:numCache/>
            </c:numRef>
          </c:val>
          <c:smooth val="0"/>
        </c:ser>
        <c:axId val="526435371"/>
        <c:axId val="640794415"/>
      </c:lineChart>
      <c:catAx>
        <c:axId val="5264353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1">
                <a:solidFill>
                  <a:srgbClr val="000000"/>
                </a:solidFill>
                <a:latin typeface="+mn-lt"/>
              </a:defRPr>
            </a:pPr>
          </a:p>
        </c:txPr>
        <c:crossAx val="640794415"/>
      </c:catAx>
      <c:valAx>
        <c:axId val="6407944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1">
                <a:solidFill>
                  <a:srgbClr val="000000"/>
                </a:solidFill>
                <a:latin typeface="sans-serif"/>
              </a:defRPr>
            </a:pPr>
          </a:p>
        </c:txPr>
        <c:crossAx val="526435371"/>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923925</xdr:colOff>
      <xdr:row>1</xdr:row>
      <xdr:rowOff>123825</xdr:rowOff>
    </xdr:from>
    <xdr:ext cx="9134475" cy="4467225"/>
    <xdr:graphicFrame>
      <xdr:nvGraphicFramePr>
        <xdr:cNvPr id="1" name="Chart 1" title="Biểu đồ"/>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28575</xdr:colOff>
      <xdr:row>1</xdr:row>
      <xdr:rowOff>114300</xdr:rowOff>
    </xdr:from>
    <xdr:ext cx="8610600" cy="4486275"/>
    <xdr:graphicFrame>
      <xdr:nvGraphicFramePr>
        <xdr:cNvPr id="2" name="Chart 2" title="Biểu đồ"/>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19050</xdr:colOff>
      <xdr:row>25</xdr:row>
      <xdr:rowOff>9525</xdr:rowOff>
    </xdr:from>
    <xdr:ext cx="8610600" cy="4486275"/>
    <xdr:graphicFrame>
      <xdr:nvGraphicFramePr>
        <xdr:cNvPr id="3" name="Chart 3" title="Biểu đồ"/>
        <xdr:cNvGraphicFramePr/>
      </xdr:nvGraphicFramePr>
      <xdr:xfrm>
        <a:off x="0" y="0"/>
        <a:ext cx="0" cy="0"/>
      </xdr:xfrm>
      <a:graphic>
        <a:graphicData uri="http://schemas.openxmlformats.org/drawingml/2006/chart">
          <c:chart r:id="rId3"/>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14" max="14" width="26.25"/>
    <col customWidth="1" min="16" max="16" width="13.0"/>
    <col customWidth="1" min="17" max="17" width="15.13"/>
    <col customWidth="1" min="19" max="19" width="13.25"/>
  </cols>
  <sheetData>
    <row r="1">
      <c r="A1" s="1" t="s">
        <v>0</v>
      </c>
      <c r="B1" s="2"/>
      <c r="C1" s="2"/>
      <c r="D1" s="2"/>
      <c r="E1" s="2"/>
      <c r="F1" s="2"/>
      <c r="G1" s="2"/>
      <c r="H1" s="2"/>
      <c r="I1" s="2"/>
      <c r="J1" s="2"/>
      <c r="K1" s="2"/>
      <c r="L1" s="3"/>
      <c r="M1" s="3"/>
      <c r="N1" s="3"/>
      <c r="O1" s="4"/>
      <c r="P1" s="4"/>
      <c r="Q1" s="4"/>
      <c r="R1" s="4"/>
      <c r="S1" s="4"/>
      <c r="T1" s="4"/>
      <c r="U1" s="4"/>
    </row>
    <row r="2">
      <c r="A2" s="5" t="s">
        <v>1</v>
      </c>
      <c r="B2" s="2"/>
      <c r="C2" s="2"/>
      <c r="D2" s="2"/>
      <c r="E2" s="2"/>
      <c r="F2" s="2"/>
      <c r="G2" s="2"/>
      <c r="H2" s="2"/>
      <c r="I2" s="2"/>
      <c r="J2" s="2"/>
      <c r="K2" s="2"/>
      <c r="L2" s="3"/>
      <c r="M2" s="3"/>
      <c r="N2" s="3"/>
      <c r="O2" s="4"/>
      <c r="P2" s="4"/>
      <c r="Q2" s="4"/>
      <c r="R2" s="4"/>
      <c r="S2" s="4"/>
      <c r="T2" s="4"/>
      <c r="U2" s="4"/>
      <c r="V2" s="4"/>
      <c r="W2" s="4"/>
      <c r="X2" s="4"/>
      <c r="Y2" s="4"/>
    </row>
    <row r="3">
      <c r="A3" s="5" t="s">
        <v>2</v>
      </c>
      <c r="B3" s="2"/>
      <c r="C3" s="2"/>
      <c r="D3" s="2"/>
      <c r="E3" s="2"/>
      <c r="F3" s="2"/>
      <c r="G3" s="2"/>
      <c r="H3" s="2"/>
      <c r="I3" s="2"/>
      <c r="J3" s="2"/>
      <c r="K3" s="2"/>
      <c r="L3" s="3"/>
      <c r="M3" s="3"/>
      <c r="N3" s="4"/>
      <c r="O3" s="4"/>
      <c r="P3" s="4"/>
      <c r="Q3" s="4"/>
      <c r="R3" s="4"/>
      <c r="S3" s="4"/>
      <c r="T3" s="4"/>
      <c r="U3" s="4"/>
      <c r="V3" s="4"/>
      <c r="W3" s="4"/>
      <c r="X3" s="4"/>
      <c r="Y3" s="4"/>
    </row>
    <row r="4">
      <c r="A4" s="6"/>
      <c r="B4" s="7" t="s">
        <v>3</v>
      </c>
      <c r="C4" s="7" t="s">
        <v>4</v>
      </c>
      <c r="D4" s="7" t="s">
        <v>5</v>
      </c>
      <c r="E4" s="7" t="s">
        <v>6</v>
      </c>
      <c r="F4" s="7" t="s">
        <v>7</v>
      </c>
      <c r="G4" s="7" t="s">
        <v>8</v>
      </c>
      <c r="H4" s="7" t="s">
        <v>9</v>
      </c>
      <c r="I4" s="7" t="s">
        <v>10</v>
      </c>
      <c r="J4" s="7" t="s">
        <v>11</v>
      </c>
      <c r="K4" s="8" t="s">
        <v>12</v>
      </c>
      <c r="L4" s="3"/>
      <c r="M4" s="3"/>
      <c r="N4" s="4"/>
      <c r="O4" s="4"/>
      <c r="P4" s="4"/>
      <c r="Q4" s="4"/>
      <c r="R4" s="4"/>
      <c r="S4" s="4"/>
      <c r="T4" s="4"/>
      <c r="U4" s="4"/>
      <c r="V4" s="4"/>
      <c r="W4" s="4"/>
      <c r="X4" s="4"/>
      <c r="Y4" s="4"/>
    </row>
    <row r="5">
      <c r="A5" s="9" t="s">
        <v>13</v>
      </c>
      <c r="B5" s="10">
        <v>596000.0</v>
      </c>
      <c r="C5" s="10">
        <v>596000.0</v>
      </c>
      <c r="D5" s="10">
        <v>447000.0</v>
      </c>
      <c r="E5" s="10">
        <v>447000.0</v>
      </c>
      <c r="F5" s="10">
        <v>298000.0</v>
      </c>
      <c r="G5" s="10">
        <v>298000.0</v>
      </c>
      <c r="H5" s="10">
        <v>149000.0</v>
      </c>
      <c r="I5" s="10">
        <v>149000.0</v>
      </c>
      <c r="J5" s="10">
        <v>149000.0</v>
      </c>
      <c r="K5" s="10">
        <v>149000.0</v>
      </c>
      <c r="L5" s="11"/>
      <c r="M5" s="11"/>
      <c r="N5" s="12" t="s">
        <v>14</v>
      </c>
      <c r="O5" s="13" t="s">
        <v>3</v>
      </c>
      <c r="P5" s="13" t="s">
        <v>4</v>
      </c>
      <c r="Q5" s="13" t="s">
        <v>5</v>
      </c>
      <c r="R5" s="13" t="s">
        <v>6</v>
      </c>
      <c r="S5" s="13" t="s">
        <v>7</v>
      </c>
      <c r="T5" s="13" t="s">
        <v>8</v>
      </c>
      <c r="U5" s="13" t="s">
        <v>9</v>
      </c>
      <c r="V5" s="13" t="s">
        <v>10</v>
      </c>
      <c r="W5" s="13" t="s">
        <v>11</v>
      </c>
      <c r="X5" s="13" t="s">
        <v>12</v>
      </c>
      <c r="Y5" s="4"/>
    </row>
    <row r="6">
      <c r="A6" s="9" t="s">
        <v>15</v>
      </c>
      <c r="B6" s="14">
        <v>1494000.0</v>
      </c>
      <c r="C6" s="14">
        <v>1743000.0</v>
      </c>
      <c r="D6" s="14">
        <v>1992000.0</v>
      </c>
      <c r="E6" s="14">
        <v>1992000.0</v>
      </c>
      <c r="F6" s="14">
        <v>1992000.0</v>
      </c>
      <c r="G6" s="14">
        <v>1743000.0</v>
      </c>
      <c r="H6" s="14">
        <v>1494000.0</v>
      </c>
      <c r="I6" s="14">
        <v>1245000.0</v>
      </c>
      <c r="J6" s="14">
        <v>996000.0</v>
      </c>
      <c r="K6" s="14">
        <v>747000.0</v>
      </c>
      <c r="L6" s="11"/>
      <c r="M6" s="11"/>
      <c r="N6" s="15" t="s">
        <v>16</v>
      </c>
      <c r="O6" s="16">
        <v>4.0</v>
      </c>
      <c r="P6" s="16">
        <v>4.0</v>
      </c>
      <c r="Q6" s="16">
        <v>3.0</v>
      </c>
      <c r="R6" s="16">
        <v>3.0</v>
      </c>
      <c r="S6" s="16">
        <v>2.0</v>
      </c>
      <c r="T6" s="16">
        <v>2.0</v>
      </c>
      <c r="U6" s="16">
        <v>1.0</v>
      </c>
      <c r="V6" s="16">
        <v>1.0</v>
      </c>
      <c r="W6" s="16">
        <v>1.0</v>
      </c>
      <c r="X6" s="16">
        <v>1.0</v>
      </c>
      <c r="Y6" s="4"/>
    </row>
    <row r="7">
      <c r="A7" s="9" t="s">
        <v>17</v>
      </c>
      <c r="B7" s="14">
        <v>0.0</v>
      </c>
      <c r="C7" s="14">
        <v>599000.0</v>
      </c>
      <c r="D7" s="14">
        <v>1198000.0</v>
      </c>
      <c r="E7" s="14">
        <v>1797000.0</v>
      </c>
      <c r="F7" s="14">
        <v>2995000.0</v>
      </c>
      <c r="G7" s="14">
        <v>3594000.0</v>
      </c>
      <c r="H7" s="14">
        <v>4792000.0</v>
      </c>
      <c r="I7" s="14">
        <v>5391000.0</v>
      </c>
      <c r="J7" s="14">
        <v>5990000.0</v>
      </c>
      <c r="K7" s="14">
        <v>6589000.0</v>
      </c>
      <c r="L7" s="11"/>
      <c r="M7" s="11"/>
      <c r="N7" s="15" t="s">
        <v>18</v>
      </c>
      <c r="O7" s="16">
        <v>6.0</v>
      </c>
      <c r="P7" s="16">
        <v>7.0</v>
      </c>
      <c r="Q7" s="16">
        <v>8.0</v>
      </c>
      <c r="R7" s="16">
        <v>8.0</v>
      </c>
      <c r="S7" s="16">
        <v>8.0</v>
      </c>
      <c r="T7" s="16">
        <v>7.0</v>
      </c>
      <c r="U7" s="16">
        <v>6.0</v>
      </c>
      <c r="V7" s="16">
        <v>5.0</v>
      </c>
      <c r="W7" s="16">
        <v>4.0</v>
      </c>
      <c r="X7" s="16">
        <v>3.0</v>
      </c>
      <c r="Y7" s="4"/>
    </row>
    <row r="8">
      <c r="A8" s="9" t="s">
        <v>19</v>
      </c>
      <c r="B8" s="17">
        <f t="shared" ref="B8:K8" si="1">SUM(B5:B7)</f>
        <v>2090000</v>
      </c>
      <c r="C8" s="17">
        <f t="shared" si="1"/>
        <v>2938000</v>
      </c>
      <c r="D8" s="17">
        <f t="shared" si="1"/>
        <v>3637000</v>
      </c>
      <c r="E8" s="17">
        <f t="shared" si="1"/>
        <v>4236000</v>
      </c>
      <c r="F8" s="17">
        <f t="shared" si="1"/>
        <v>5285000</v>
      </c>
      <c r="G8" s="17">
        <f t="shared" si="1"/>
        <v>5635000</v>
      </c>
      <c r="H8" s="17">
        <f t="shared" si="1"/>
        <v>6435000</v>
      </c>
      <c r="I8" s="17">
        <f t="shared" si="1"/>
        <v>6785000</v>
      </c>
      <c r="J8" s="17">
        <f t="shared" si="1"/>
        <v>7135000</v>
      </c>
      <c r="K8" s="17">
        <f t="shared" si="1"/>
        <v>7485000</v>
      </c>
      <c r="L8" s="11"/>
      <c r="M8" s="11"/>
      <c r="N8" s="18" t="s">
        <v>20</v>
      </c>
      <c r="O8" s="19">
        <v>0.0</v>
      </c>
      <c r="P8" s="19">
        <v>1.0</v>
      </c>
      <c r="Q8" s="19">
        <v>2.0</v>
      </c>
      <c r="R8" s="19">
        <v>3.0</v>
      </c>
      <c r="S8" s="19">
        <v>5.0</v>
      </c>
      <c r="T8" s="19">
        <v>6.0</v>
      </c>
      <c r="U8" s="19">
        <v>8.0</v>
      </c>
      <c r="V8" s="19">
        <v>9.0</v>
      </c>
      <c r="W8" s="19">
        <v>10.0</v>
      </c>
      <c r="X8" s="19">
        <v>11.0</v>
      </c>
      <c r="Y8" s="4"/>
    </row>
    <row r="9">
      <c r="A9" s="20" t="s">
        <v>21</v>
      </c>
      <c r="B9" s="21">
        <f t="shared" ref="B9:K9" si="2">B8*1%</f>
        <v>20900</v>
      </c>
      <c r="C9" s="21">
        <f t="shared" si="2"/>
        <v>29380</v>
      </c>
      <c r="D9" s="21">
        <f t="shared" si="2"/>
        <v>36370</v>
      </c>
      <c r="E9" s="21">
        <f t="shared" si="2"/>
        <v>42360</v>
      </c>
      <c r="F9" s="21">
        <f t="shared" si="2"/>
        <v>52850</v>
      </c>
      <c r="G9" s="21">
        <f t="shared" si="2"/>
        <v>56350</v>
      </c>
      <c r="H9" s="21">
        <f t="shared" si="2"/>
        <v>64350</v>
      </c>
      <c r="I9" s="21">
        <f t="shared" si="2"/>
        <v>67850</v>
      </c>
      <c r="J9" s="21">
        <f t="shared" si="2"/>
        <v>71350</v>
      </c>
      <c r="K9" s="21">
        <f t="shared" si="2"/>
        <v>74850</v>
      </c>
      <c r="L9" s="22"/>
      <c r="M9" s="22"/>
      <c r="N9" s="23"/>
      <c r="O9" s="23"/>
      <c r="P9" s="23"/>
      <c r="Q9" s="23"/>
      <c r="R9" s="23"/>
      <c r="S9" s="23"/>
      <c r="T9" s="23"/>
      <c r="U9" s="23"/>
      <c r="V9" s="23"/>
      <c r="W9" s="23"/>
      <c r="X9" s="23"/>
      <c r="Y9" s="4"/>
    </row>
    <row r="10">
      <c r="A10" s="24" t="s">
        <v>22</v>
      </c>
      <c r="B10" s="25">
        <f t="shared" ref="B10:K10" si="3">B8-B9</f>
        <v>2069100</v>
      </c>
      <c r="C10" s="25">
        <f t="shared" si="3"/>
        <v>2908620</v>
      </c>
      <c r="D10" s="25">
        <f t="shared" si="3"/>
        <v>3600630</v>
      </c>
      <c r="E10" s="25">
        <f t="shared" si="3"/>
        <v>4193640</v>
      </c>
      <c r="F10" s="25">
        <f t="shared" si="3"/>
        <v>5232150</v>
      </c>
      <c r="G10" s="25">
        <f t="shared" si="3"/>
        <v>5578650</v>
      </c>
      <c r="H10" s="25">
        <f t="shared" si="3"/>
        <v>6370650</v>
      </c>
      <c r="I10" s="25">
        <f t="shared" si="3"/>
        <v>6717150</v>
      </c>
      <c r="J10" s="25">
        <f t="shared" si="3"/>
        <v>7063650</v>
      </c>
      <c r="K10" s="25">
        <f t="shared" si="3"/>
        <v>7410150</v>
      </c>
      <c r="L10" s="3"/>
      <c r="M10" s="3"/>
      <c r="N10" s="26"/>
      <c r="O10" s="17"/>
      <c r="P10" s="17"/>
      <c r="Q10" s="17"/>
      <c r="R10" s="17"/>
      <c r="S10" s="17"/>
      <c r="T10" s="17"/>
      <c r="U10" s="17"/>
      <c r="V10" s="17"/>
      <c r="W10" s="17"/>
      <c r="X10" s="17"/>
      <c r="Y10" s="4"/>
    </row>
    <row r="11">
      <c r="A11" s="20"/>
      <c r="B11" s="20"/>
      <c r="C11" s="20"/>
      <c r="D11" s="20"/>
      <c r="E11" s="20"/>
      <c r="F11" s="20"/>
      <c r="G11" s="20"/>
      <c r="H11" s="20"/>
      <c r="I11" s="20"/>
      <c r="J11" s="20"/>
      <c r="K11" s="20"/>
      <c r="L11" s="20"/>
      <c r="M11" s="20"/>
      <c r="N11" s="3" t="s">
        <v>23</v>
      </c>
      <c r="O11" s="3"/>
      <c r="P11" s="3"/>
      <c r="Q11" s="3"/>
      <c r="R11" s="4"/>
      <c r="S11" s="4"/>
      <c r="T11" s="4"/>
      <c r="U11" s="4"/>
      <c r="V11" s="4"/>
      <c r="W11" s="4"/>
      <c r="X11" s="4"/>
      <c r="Y11" s="4"/>
    </row>
    <row r="12">
      <c r="A12" s="20" t="s">
        <v>24</v>
      </c>
      <c r="B12" s="27">
        <v>640000.0</v>
      </c>
      <c r="C12" s="27">
        <v>880000.0</v>
      </c>
      <c r="D12" s="27">
        <v>1080000.0</v>
      </c>
      <c r="E12" s="27">
        <v>1240000.0</v>
      </c>
      <c r="F12" s="27">
        <v>1520000.0</v>
      </c>
      <c r="G12" s="27">
        <v>1600000.0</v>
      </c>
      <c r="H12" s="27">
        <v>1800000.0</v>
      </c>
      <c r="I12" s="27">
        <v>1880000.0</v>
      </c>
      <c r="J12" s="27">
        <v>1960000.0</v>
      </c>
      <c r="K12" s="27">
        <v>2040000.0</v>
      </c>
      <c r="L12" s="11"/>
      <c r="M12" s="11"/>
      <c r="N12" s="3" t="s">
        <v>25</v>
      </c>
      <c r="O12" s="3"/>
      <c r="P12" s="3"/>
      <c r="Q12" s="3"/>
      <c r="R12" s="4"/>
      <c r="S12" s="4"/>
      <c r="T12" s="4"/>
      <c r="U12" s="4"/>
      <c r="V12" s="4"/>
      <c r="W12" s="4"/>
      <c r="X12" s="4"/>
      <c r="Y12" s="4"/>
    </row>
    <row r="13">
      <c r="A13" s="24" t="s">
        <v>26</v>
      </c>
      <c r="B13" s="28">
        <f t="shared" ref="B13:K13" si="4">B10-B12</f>
        <v>1429100</v>
      </c>
      <c r="C13" s="28">
        <f t="shared" si="4"/>
        <v>2028620</v>
      </c>
      <c r="D13" s="28">
        <f t="shared" si="4"/>
        <v>2520630</v>
      </c>
      <c r="E13" s="28">
        <f t="shared" si="4"/>
        <v>2953640</v>
      </c>
      <c r="F13" s="28">
        <f t="shared" si="4"/>
        <v>3712150</v>
      </c>
      <c r="G13" s="28">
        <f t="shared" si="4"/>
        <v>3978650</v>
      </c>
      <c r="H13" s="28">
        <f t="shared" si="4"/>
        <v>4570650</v>
      </c>
      <c r="I13" s="28">
        <f t="shared" si="4"/>
        <v>4837150</v>
      </c>
      <c r="J13" s="28">
        <f t="shared" si="4"/>
        <v>5103650</v>
      </c>
      <c r="K13" s="28">
        <f t="shared" si="4"/>
        <v>5370150</v>
      </c>
      <c r="L13" s="3"/>
      <c r="M13" s="3"/>
      <c r="N13" s="12" t="s">
        <v>14</v>
      </c>
      <c r="O13" s="29" t="s">
        <v>27</v>
      </c>
      <c r="P13" s="29" t="s">
        <v>28</v>
      </c>
      <c r="Q13" s="29" t="s">
        <v>29</v>
      </c>
      <c r="R13" s="4"/>
      <c r="S13" s="4"/>
      <c r="T13" s="4"/>
      <c r="U13" s="4"/>
      <c r="V13" s="4"/>
      <c r="W13" s="4"/>
      <c r="X13" s="4"/>
      <c r="Y13" s="4"/>
    </row>
    <row r="14">
      <c r="A14" s="30" t="s">
        <v>30</v>
      </c>
      <c r="B14" s="31">
        <f t="shared" ref="B14:K14" si="5">B13/B10</f>
        <v>0.690686772</v>
      </c>
      <c r="C14" s="31">
        <f t="shared" si="5"/>
        <v>0.6974510249</v>
      </c>
      <c r="D14" s="31">
        <f t="shared" si="5"/>
        <v>0.7000524908</v>
      </c>
      <c r="E14" s="31">
        <f t="shared" si="5"/>
        <v>0.7043141519</v>
      </c>
      <c r="F14" s="31">
        <f t="shared" si="5"/>
        <v>0.7094884512</v>
      </c>
      <c r="G14" s="31">
        <f t="shared" si="5"/>
        <v>0.7131922598</v>
      </c>
      <c r="H14" s="31">
        <f t="shared" si="5"/>
        <v>0.7174542629</v>
      </c>
      <c r="I14" s="31">
        <f t="shared" si="5"/>
        <v>0.7201193959</v>
      </c>
      <c r="J14" s="31">
        <f t="shared" si="5"/>
        <v>0.7225230582</v>
      </c>
      <c r="K14" s="31">
        <f t="shared" si="5"/>
        <v>0.7247019291</v>
      </c>
      <c r="L14" s="32"/>
      <c r="M14" s="32"/>
      <c r="N14" s="15" t="s">
        <v>16</v>
      </c>
      <c r="O14" s="33">
        <v>149000.0</v>
      </c>
      <c r="P14" s="33">
        <v>40000.0</v>
      </c>
      <c r="Q14" s="33">
        <v>109000.0</v>
      </c>
      <c r="R14" s="4"/>
      <c r="S14" s="4"/>
      <c r="T14" s="4"/>
      <c r="U14" s="4"/>
      <c r="V14" s="4"/>
      <c r="W14" s="4"/>
      <c r="X14" s="4"/>
      <c r="Y14" s="4"/>
    </row>
    <row r="15">
      <c r="A15" s="20"/>
      <c r="B15" s="20"/>
      <c r="C15" s="20"/>
      <c r="D15" s="20"/>
      <c r="E15" s="20"/>
      <c r="F15" s="20"/>
      <c r="G15" s="20"/>
      <c r="H15" s="20"/>
      <c r="I15" s="20"/>
      <c r="J15" s="20"/>
      <c r="K15" s="20"/>
      <c r="L15" s="20"/>
      <c r="M15" s="20"/>
      <c r="N15" s="15" t="s">
        <v>18</v>
      </c>
      <c r="O15" s="33">
        <v>249000.0</v>
      </c>
      <c r="P15" s="33">
        <v>80000.0</v>
      </c>
      <c r="Q15" s="33">
        <v>169000.0</v>
      </c>
      <c r="R15" s="4"/>
      <c r="S15" s="4"/>
      <c r="T15" s="4"/>
      <c r="U15" s="4"/>
      <c r="V15" s="4"/>
      <c r="W15" s="4"/>
      <c r="X15" s="4"/>
      <c r="Y15" s="4"/>
    </row>
    <row r="16">
      <c r="A16" s="34" t="s">
        <v>31</v>
      </c>
      <c r="B16" s="20"/>
      <c r="C16" s="20"/>
      <c r="D16" s="20"/>
      <c r="E16" s="20"/>
      <c r="F16" s="20"/>
      <c r="G16" s="20"/>
      <c r="H16" s="20"/>
      <c r="I16" s="20"/>
      <c r="J16" s="20"/>
      <c r="K16" s="20"/>
      <c r="L16" s="20"/>
      <c r="M16" s="20"/>
      <c r="N16" s="15" t="s">
        <v>20</v>
      </c>
      <c r="O16" s="33">
        <v>599000.0</v>
      </c>
      <c r="P16" s="33">
        <v>160000.0</v>
      </c>
      <c r="Q16" s="33">
        <v>439000.0</v>
      </c>
      <c r="R16" s="4"/>
      <c r="S16" s="4"/>
      <c r="T16" s="4"/>
      <c r="U16" s="4"/>
      <c r="V16" s="4"/>
      <c r="W16" s="4"/>
      <c r="X16" s="4"/>
      <c r="Y16" s="4"/>
    </row>
    <row r="17">
      <c r="A17" s="20" t="s">
        <v>32</v>
      </c>
      <c r="B17" s="21">
        <v>500000.0</v>
      </c>
      <c r="C17" s="21">
        <v>500000.0</v>
      </c>
      <c r="D17" s="21">
        <v>500000.0</v>
      </c>
      <c r="E17" s="21">
        <v>500000.0</v>
      </c>
      <c r="F17" s="21">
        <v>700000.0</v>
      </c>
      <c r="G17" s="21">
        <v>700000.0</v>
      </c>
      <c r="H17" s="21">
        <v>700000.0</v>
      </c>
      <c r="I17" s="21">
        <v>700000.0</v>
      </c>
      <c r="J17" s="21">
        <v>1000000.0</v>
      </c>
      <c r="K17" s="21">
        <v>1000000.0</v>
      </c>
      <c r="L17" s="22"/>
      <c r="M17" s="22"/>
      <c r="N17" s="4"/>
      <c r="O17" s="4"/>
      <c r="P17" s="4"/>
      <c r="Q17" s="4"/>
      <c r="R17" s="4"/>
      <c r="S17" s="4"/>
      <c r="T17" s="4"/>
      <c r="U17" s="4"/>
      <c r="V17" s="4"/>
      <c r="W17" s="4"/>
      <c r="X17" s="4"/>
      <c r="Y17" s="4"/>
    </row>
    <row r="18">
      <c r="A18" s="20" t="s">
        <v>33</v>
      </c>
      <c r="B18" s="35">
        <v>0.0</v>
      </c>
      <c r="C18" s="35">
        <v>0.0</v>
      </c>
      <c r="D18" s="35">
        <v>0.0</v>
      </c>
      <c r="E18" s="35">
        <v>0.0</v>
      </c>
      <c r="F18" s="35">
        <v>0.0</v>
      </c>
      <c r="G18" s="35">
        <v>0.0</v>
      </c>
      <c r="H18" s="35">
        <v>0.0</v>
      </c>
      <c r="I18" s="35">
        <v>0.0</v>
      </c>
      <c r="J18" s="35">
        <v>0.0</v>
      </c>
      <c r="K18" s="35">
        <v>0.0</v>
      </c>
      <c r="L18" s="20"/>
      <c r="M18" s="20"/>
      <c r="N18" s="4"/>
      <c r="O18" s="4"/>
      <c r="P18" s="4"/>
      <c r="Q18" s="4"/>
      <c r="R18" s="4"/>
      <c r="S18" s="4"/>
      <c r="T18" s="4"/>
      <c r="U18" s="4"/>
      <c r="V18" s="4"/>
      <c r="W18" s="4"/>
      <c r="X18" s="4"/>
      <c r="Y18" s="4"/>
    </row>
    <row r="19">
      <c r="A19" s="20" t="s">
        <v>34</v>
      </c>
      <c r="B19" s="35">
        <v>0.0</v>
      </c>
      <c r="C19" s="35">
        <v>0.0</v>
      </c>
      <c r="D19" s="35">
        <v>0.0</v>
      </c>
      <c r="E19" s="35">
        <v>0.0</v>
      </c>
      <c r="F19" s="35">
        <v>0.0</v>
      </c>
      <c r="G19" s="35">
        <v>0.0</v>
      </c>
      <c r="H19" s="35">
        <v>0.0</v>
      </c>
      <c r="I19" s="35">
        <v>0.0</v>
      </c>
      <c r="J19" s="35">
        <v>0.0</v>
      </c>
      <c r="K19" s="35">
        <v>0.0</v>
      </c>
      <c r="L19" s="20"/>
      <c r="M19" s="20"/>
      <c r="N19" s="6"/>
      <c r="O19" s="13" t="s">
        <v>3</v>
      </c>
      <c r="P19" s="13" t="s">
        <v>4</v>
      </c>
      <c r="Q19" s="13" t="s">
        <v>5</v>
      </c>
      <c r="R19" s="13" t="s">
        <v>6</v>
      </c>
      <c r="S19" s="13" t="s">
        <v>7</v>
      </c>
      <c r="T19" s="13" t="s">
        <v>8</v>
      </c>
      <c r="U19" s="13" t="s">
        <v>9</v>
      </c>
      <c r="V19" s="13" t="s">
        <v>10</v>
      </c>
      <c r="W19" s="13" t="s">
        <v>11</v>
      </c>
      <c r="X19" s="13" t="s">
        <v>12</v>
      </c>
      <c r="Y19" s="4"/>
    </row>
    <row r="20">
      <c r="A20" s="20" t="s">
        <v>35</v>
      </c>
      <c r="B20" s="21">
        <v>360000.0</v>
      </c>
      <c r="C20" s="21">
        <v>360000.0</v>
      </c>
      <c r="D20" s="21">
        <v>360000.0</v>
      </c>
      <c r="E20" s="21">
        <v>360000.0</v>
      </c>
      <c r="F20" s="21">
        <v>360000.0</v>
      </c>
      <c r="G20" s="21">
        <v>360000.0</v>
      </c>
      <c r="H20" s="21">
        <v>360000.0</v>
      </c>
      <c r="I20" s="21">
        <v>360000.0</v>
      </c>
      <c r="J20" s="21">
        <v>360000.0</v>
      </c>
      <c r="K20" s="21">
        <v>360000.0</v>
      </c>
      <c r="L20" s="22"/>
      <c r="M20" s="22"/>
      <c r="N20" s="15" t="s">
        <v>36</v>
      </c>
      <c r="O20" s="16">
        <v>0.0</v>
      </c>
      <c r="P20" s="16">
        <v>0.0</v>
      </c>
      <c r="Q20" s="16">
        <v>0.0</v>
      </c>
      <c r="R20" s="16">
        <v>0.0</v>
      </c>
      <c r="S20" s="16">
        <v>0.0</v>
      </c>
      <c r="T20" s="16">
        <v>0.0</v>
      </c>
      <c r="U20" s="16">
        <v>0.0</v>
      </c>
      <c r="V20" s="16">
        <v>0.0</v>
      </c>
      <c r="W20" s="16">
        <v>0.0</v>
      </c>
      <c r="X20" s="16">
        <v>0.0</v>
      </c>
      <c r="Y20" s="4"/>
    </row>
    <row r="21">
      <c r="A21" s="20" t="s">
        <v>37</v>
      </c>
      <c r="B21" s="35">
        <v>0.0</v>
      </c>
      <c r="C21" s="35">
        <v>0.0</v>
      </c>
      <c r="D21" s="35">
        <v>0.0</v>
      </c>
      <c r="E21" s="35">
        <v>0.0</v>
      </c>
      <c r="F21" s="35">
        <v>0.0</v>
      </c>
      <c r="G21" s="35">
        <v>0.0</v>
      </c>
      <c r="H21" s="35">
        <v>0.0</v>
      </c>
      <c r="I21" s="35">
        <v>0.0</v>
      </c>
      <c r="J21" s="35">
        <v>0.0</v>
      </c>
      <c r="K21" s="35">
        <v>0.0</v>
      </c>
      <c r="L21" s="20"/>
      <c r="M21" s="20"/>
      <c r="N21" s="15" t="s">
        <v>38</v>
      </c>
      <c r="O21" s="33">
        <v>640000.0</v>
      </c>
      <c r="P21" s="33">
        <v>880000.0</v>
      </c>
      <c r="Q21" s="33">
        <v>1080000.0</v>
      </c>
      <c r="R21" s="33">
        <v>1240000.0</v>
      </c>
      <c r="S21" s="33">
        <v>1520000.0</v>
      </c>
      <c r="T21" s="33">
        <v>1600000.0</v>
      </c>
      <c r="U21" s="33">
        <v>1800000.0</v>
      </c>
      <c r="V21" s="33">
        <v>1880000.0</v>
      </c>
      <c r="W21" s="33">
        <v>1960000.0</v>
      </c>
      <c r="X21" s="33">
        <v>2040000.0</v>
      </c>
      <c r="Y21" s="4"/>
    </row>
    <row r="22">
      <c r="A22" s="20" t="s">
        <v>39</v>
      </c>
      <c r="B22" s="35">
        <v>0.0</v>
      </c>
      <c r="C22" s="35">
        <v>0.0</v>
      </c>
      <c r="D22" s="35">
        <v>0.0</v>
      </c>
      <c r="E22" s="35">
        <v>0.0</v>
      </c>
      <c r="F22" s="35">
        <v>0.0</v>
      </c>
      <c r="G22" s="35">
        <v>0.0</v>
      </c>
      <c r="H22" s="35">
        <v>0.0</v>
      </c>
      <c r="I22" s="35">
        <v>0.0</v>
      </c>
      <c r="J22" s="35">
        <v>0.0</v>
      </c>
      <c r="K22" s="35">
        <v>0.0</v>
      </c>
      <c r="L22" s="20"/>
      <c r="M22" s="20"/>
      <c r="N22" s="36" t="s">
        <v>40</v>
      </c>
      <c r="O22" s="37">
        <v>640000.0</v>
      </c>
      <c r="P22" s="37">
        <v>880000.0</v>
      </c>
      <c r="Q22" s="37">
        <v>1080000.0</v>
      </c>
      <c r="R22" s="37">
        <v>1240000.0</v>
      </c>
      <c r="S22" s="37">
        <v>1520000.0</v>
      </c>
      <c r="T22" s="37">
        <v>1600000.0</v>
      </c>
      <c r="U22" s="37">
        <v>1800000.0</v>
      </c>
      <c r="V22" s="37">
        <v>1880000.0</v>
      </c>
      <c r="W22" s="37">
        <v>1960000.0</v>
      </c>
      <c r="X22" s="37">
        <v>2040000.0</v>
      </c>
      <c r="Y22" s="4"/>
    </row>
    <row r="23">
      <c r="A23" s="20" t="s">
        <v>41</v>
      </c>
      <c r="B23" s="35">
        <v>0.0</v>
      </c>
      <c r="C23" s="35">
        <v>0.0</v>
      </c>
      <c r="D23" s="35">
        <v>0.0</v>
      </c>
      <c r="E23" s="35">
        <v>0.0</v>
      </c>
      <c r="F23" s="35">
        <v>0.0</v>
      </c>
      <c r="G23" s="35">
        <v>0.0</v>
      </c>
      <c r="H23" s="35">
        <v>0.0</v>
      </c>
      <c r="I23" s="35">
        <v>0.0</v>
      </c>
      <c r="J23" s="35">
        <v>0.0</v>
      </c>
      <c r="K23" s="35">
        <v>0.0</v>
      </c>
      <c r="L23" s="20"/>
      <c r="M23" s="20"/>
      <c r="N23" s="3"/>
      <c r="O23" s="3"/>
      <c r="P23" s="3"/>
      <c r="Q23" s="3"/>
      <c r="R23" s="3"/>
      <c r="S23" s="3"/>
      <c r="T23" s="3"/>
      <c r="U23" s="3"/>
      <c r="V23" s="3"/>
      <c r="W23" s="3"/>
      <c r="X23" s="3"/>
      <c r="Y23" s="4"/>
    </row>
    <row r="24">
      <c r="A24" s="20" t="s">
        <v>42</v>
      </c>
      <c r="B24" s="35">
        <v>0.0</v>
      </c>
      <c r="C24" s="35">
        <v>0.0</v>
      </c>
      <c r="D24" s="35">
        <v>0.0</v>
      </c>
      <c r="E24" s="35">
        <v>0.0</v>
      </c>
      <c r="F24" s="35">
        <v>0.0</v>
      </c>
      <c r="G24" s="35">
        <v>0.0</v>
      </c>
      <c r="H24" s="35">
        <v>0.0</v>
      </c>
      <c r="I24" s="35">
        <v>0.0</v>
      </c>
      <c r="J24" s="35">
        <v>0.0</v>
      </c>
      <c r="K24" s="35">
        <v>0.0</v>
      </c>
      <c r="L24" s="20"/>
      <c r="M24" s="20"/>
      <c r="N24" s="38" t="s">
        <v>43</v>
      </c>
      <c r="U24" s="3"/>
      <c r="V24" s="3"/>
      <c r="W24" s="3"/>
      <c r="X24" s="3"/>
      <c r="Y24" s="4"/>
    </row>
    <row r="25">
      <c r="A25" s="20" t="s">
        <v>44</v>
      </c>
      <c r="B25" s="35">
        <v>0.0</v>
      </c>
      <c r="C25" s="35">
        <v>0.0</v>
      </c>
      <c r="D25" s="35">
        <v>0.0</v>
      </c>
      <c r="E25" s="35">
        <v>0.0</v>
      </c>
      <c r="F25" s="35">
        <v>0.0</v>
      </c>
      <c r="G25" s="35">
        <v>0.0</v>
      </c>
      <c r="H25" s="35">
        <v>0.0</v>
      </c>
      <c r="I25" s="35">
        <v>0.0</v>
      </c>
      <c r="J25" s="35">
        <v>0.0</v>
      </c>
      <c r="K25" s="35">
        <v>0.0</v>
      </c>
      <c r="L25" s="20"/>
      <c r="M25" s="20"/>
      <c r="U25" s="4"/>
      <c r="V25" s="4"/>
      <c r="W25" s="4"/>
      <c r="X25" s="4"/>
      <c r="Y25" s="4"/>
    </row>
    <row r="26">
      <c r="A26" s="20" t="s">
        <v>45</v>
      </c>
      <c r="B26" s="35">
        <v>0.0</v>
      </c>
      <c r="C26" s="35">
        <v>0.0</v>
      </c>
      <c r="D26" s="35">
        <v>0.0</v>
      </c>
      <c r="E26" s="35">
        <v>0.0</v>
      </c>
      <c r="F26" s="35">
        <v>0.0</v>
      </c>
      <c r="G26" s="35">
        <v>0.0</v>
      </c>
      <c r="H26" s="35">
        <v>0.0</v>
      </c>
      <c r="I26" s="35">
        <v>0.0</v>
      </c>
      <c r="J26" s="35">
        <v>0.0</v>
      </c>
      <c r="K26" s="35">
        <v>0.0</v>
      </c>
      <c r="L26" s="20"/>
      <c r="M26" s="20"/>
      <c r="U26" s="4"/>
      <c r="V26" s="4"/>
      <c r="W26" s="4"/>
      <c r="X26" s="4"/>
      <c r="Y26" s="4"/>
    </row>
    <row r="27">
      <c r="A27" s="20" t="s">
        <v>46</v>
      </c>
      <c r="B27" s="21">
        <v>1566000.0</v>
      </c>
      <c r="C27" s="21">
        <v>1566000.0</v>
      </c>
      <c r="D27" s="21">
        <v>1566000.0</v>
      </c>
      <c r="E27" s="21">
        <v>1566000.0</v>
      </c>
      <c r="F27" s="21">
        <v>1566000.0</v>
      </c>
      <c r="G27" s="21">
        <v>1566000.0</v>
      </c>
      <c r="H27" s="21">
        <v>1566000.0</v>
      </c>
      <c r="I27" s="21">
        <v>1566000.0</v>
      </c>
      <c r="J27" s="21">
        <v>1566000.0</v>
      </c>
      <c r="K27" s="21">
        <v>1566000.0</v>
      </c>
      <c r="L27" s="22"/>
      <c r="M27" s="22"/>
      <c r="N27" s="4"/>
      <c r="O27" s="4"/>
      <c r="P27" s="4"/>
      <c r="Q27" s="4"/>
      <c r="R27" s="4"/>
      <c r="S27" s="4"/>
      <c r="T27" s="4"/>
      <c r="U27" s="4"/>
    </row>
    <row r="28">
      <c r="A28" s="20" t="s">
        <v>47</v>
      </c>
      <c r="B28" s="21">
        <v>90000.0</v>
      </c>
      <c r="C28" s="21">
        <v>90000.0</v>
      </c>
      <c r="D28" s="21">
        <v>90000.0</v>
      </c>
      <c r="E28" s="21">
        <v>90000.0</v>
      </c>
      <c r="F28" s="21">
        <v>90000.0</v>
      </c>
      <c r="G28" s="21">
        <v>90000.0</v>
      </c>
      <c r="H28" s="21">
        <v>90000.0</v>
      </c>
      <c r="I28" s="21">
        <v>90000.0</v>
      </c>
      <c r="J28" s="21">
        <v>90000.0</v>
      </c>
      <c r="K28" s="21">
        <v>90000.0</v>
      </c>
      <c r="L28" s="11"/>
      <c r="M28" s="11"/>
      <c r="N28" s="4"/>
      <c r="O28" s="4"/>
      <c r="P28" s="4"/>
      <c r="Q28" s="4"/>
      <c r="R28" s="4"/>
      <c r="S28" s="4"/>
      <c r="T28" s="4"/>
      <c r="U28" s="4"/>
    </row>
    <row r="29">
      <c r="A29" s="39" t="s">
        <v>48</v>
      </c>
      <c r="B29" s="40">
        <f t="shared" ref="B29:K29" si="6">SUM(B17:B28)</f>
        <v>2516000</v>
      </c>
      <c r="C29" s="40">
        <f t="shared" si="6"/>
        <v>2516000</v>
      </c>
      <c r="D29" s="40">
        <f t="shared" si="6"/>
        <v>2516000</v>
      </c>
      <c r="E29" s="40">
        <f t="shared" si="6"/>
        <v>2516000</v>
      </c>
      <c r="F29" s="40">
        <f t="shared" si="6"/>
        <v>2716000</v>
      </c>
      <c r="G29" s="40">
        <f t="shared" si="6"/>
        <v>2716000</v>
      </c>
      <c r="H29" s="40">
        <f t="shared" si="6"/>
        <v>2716000</v>
      </c>
      <c r="I29" s="40">
        <f t="shared" si="6"/>
        <v>2716000</v>
      </c>
      <c r="J29" s="40">
        <f t="shared" si="6"/>
        <v>3016000</v>
      </c>
      <c r="K29" s="40">
        <f t="shared" si="6"/>
        <v>3016000</v>
      </c>
      <c r="L29" s="3"/>
      <c r="M29" s="3"/>
      <c r="N29" s="41" t="s">
        <v>49</v>
      </c>
      <c r="O29" s="42" t="s">
        <v>50</v>
      </c>
      <c r="P29" s="43"/>
      <c r="Q29" s="43"/>
      <c r="R29" s="4"/>
      <c r="S29" s="44" t="s">
        <v>51</v>
      </c>
    </row>
    <row r="30">
      <c r="A30" s="24" t="s">
        <v>52</v>
      </c>
      <c r="B30" s="25">
        <f t="shared" ref="B30:K30" si="7">B13-B29</f>
        <v>-1086900</v>
      </c>
      <c r="C30" s="25">
        <f t="shared" si="7"/>
        <v>-487380</v>
      </c>
      <c r="D30" s="25">
        <f t="shared" si="7"/>
        <v>4630</v>
      </c>
      <c r="E30" s="25">
        <f t="shared" si="7"/>
        <v>437640</v>
      </c>
      <c r="F30" s="25">
        <f t="shared" si="7"/>
        <v>996150</v>
      </c>
      <c r="G30" s="25">
        <f t="shared" si="7"/>
        <v>1262650</v>
      </c>
      <c r="H30" s="25">
        <f t="shared" si="7"/>
        <v>1854650</v>
      </c>
      <c r="I30" s="25">
        <f t="shared" si="7"/>
        <v>2121150</v>
      </c>
      <c r="J30" s="25">
        <f t="shared" si="7"/>
        <v>2087650</v>
      </c>
      <c r="K30" s="25">
        <f t="shared" si="7"/>
        <v>2354150</v>
      </c>
      <c r="L30" s="3"/>
      <c r="M30" s="3"/>
      <c r="N30" s="45" t="s">
        <v>53</v>
      </c>
      <c r="O30" s="46" t="s">
        <v>5</v>
      </c>
      <c r="R30" s="4"/>
      <c r="S30" s="47" t="s">
        <v>54</v>
      </c>
      <c r="T30" s="48">
        <v>0.01</v>
      </c>
      <c r="U30" s="49"/>
    </row>
    <row r="31">
      <c r="A31" s="50" t="s">
        <v>55</v>
      </c>
      <c r="B31" s="51">
        <f t="shared" ref="B31:K31" si="8">B30/B10</f>
        <v>-0.5253008554</v>
      </c>
      <c r="C31" s="51">
        <f t="shared" si="8"/>
        <v>-0.1675639994</v>
      </c>
      <c r="D31" s="51">
        <f t="shared" si="8"/>
        <v>0.001285886081</v>
      </c>
      <c r="E31" s="51">
        <f t="shared" si="8"/>
        <v>0.1043580279</v>
      </c>
      <c r="F31" s="51">
        <f t="shared" si="8"/>
        <v>0.1903901838</v>
      </c>
      <c r="G31" s="51">
        <f t="shared" si="8"/>
        <v>0.2263361207</v>
      </c>
      <c r="H31" s="51">
        <f t="shared" si="8"/>
        <v>0.2911241396</v>
      </c>
      <c r="I31" s="51">
        <f t="shared" si="8"/>
        <v>0.3157812465</v>
      </c>
      <c r="J31" s="51">
        <f t="shared" si="8"/>
        <v>0.2955483355</v>
      </c>
      <c r="K31" s="51">
        <f t="shared" si="8"/>
        <v>0.3176926243</v>
      </c>
      <c r="L31" s="52"/>
      <c r="M31" s="52"/>
      <c r="N31" s="53" t="s">
        <v>56</v>
      </c>
      <c r="O31" s="54" t="s">
        <v>8</v>
      </c>
      <c r="R31" s="4"/>
      <c r="S31" s="55" t="s">
        <v>57</v>
      </c>
      <c r="T31" s="56" t="s">
        <v>58</v>
      </c>
    </row>
    <row r="32">
      <c r="A32" s="20"/>
      <c r="B32" s="20"/>
      <c r="C32" s="20"/>
      <c r="D32" s="20"/>
      <c r="E32" s="20"/>
      <c r="F32" s="20"/>
      <c r="G32" s="20"/>
      <c r="H32" s="20"/>
      <c r="I32" s="20"/>
      <c r="J32" s="20"/>
      <c r="K32" s="20"/>
      <c r="L32" s="3"/>
      <c r="M32" s="3"/>
      <c r="N32" s="53" t="s">
        <v>59</v>
      </c>
      <c r="O32" s="57" t="s">
        <v>60</v>
      </c>
      <c r="R32" s="4"/>
      <c r="S32" s="55" t="s">
        <v>61</v>
      </c>
      <c r="T32" s="58">
        <v>0.2</v>
      </c>
    </row>
    <row r="33">
      <c r="A33" s="20" t="s">
        <v>62</v>
      </c>
      <c r="B33" s="35">
        <v>0.0</v>
      </c>
      <c r="C33" s="35">
        <v>0.0</v>
      </c>
      <c r="D33" s="35">
        <v>0.0</v>
      </c>
      <c r="E33" s="35">
        <v>0.0</v>
      </c>
      <c r="F33" s="35">
        <v>0.0</v>
      </c>
      <c r="G33" s="35">
        <v>0.0</v>
      </c>
      <c r="H33" s="35">
        <v>0.0</v>
      </c>
      <c r="I33" s="35">
        <v>0.0</v>
      </c>
      <c r="J33" s="35">
        <v>0.0</v>
      </c>
      <c r="K33" s="35">
        <v>0.0</v>
      </c>
      <c r="L33" s="3"/>
      <c r="M33" s="3"/>
      <c r="N33" s="53" t="s">
        <v>63</v>
      </c>
      <c r="O33" s="54" t="s">
        <v>64</v>
      </c>
      <c r="R33" s="4"/>
      <c r="S33" s="55" t="s">
        <v>65</v>
      </c>
      <c r="T33" s="56" t="s">
        <v>66</v>
      </c>
    </row>
    <row r="34">
      <c r="A34" s="20" t="s">
        <v>67</v>
      </c>
      <c r="B34" s="35">
        <v>0.0</v>
      </c>
      <c r="C34" s="35">
        <v>0.0</v>
      </c>
      <c r="D34" s="35">
        <v>0.0</v>
      </c>
      <c r="E34" s="35">
        <v>0.0</v>
      </c>
      <c r="F34" s="35">
        <v>0.0</v>
      </c>
      <c r="G34" s="35">
        <v>0.0</v>
      </c>
      <c r="H34" s="35">
        <v>0.0</v>
      </c>
      <c r="I34" s="35">
        <v>0.0</v>
      </c>
      <c r="J34" s="35">
        <v>0.0</v>
      </c>
      <c r="K34" s="35">
        <v>0.0</v>
      </c>
      <c r="L34" s="3"/>
      <c r="M34" s="3"/>
      <c r="N34" s="59" t="s">
        <v>68</v>
      </c>
      <c r="O34" s="60" t="s">
        <v>69</v>
      </c>
      <c r="R34" s="4"/>
      <c r="S34" s="55" t="s">
        <v>70</v>
      </c>
      <c r="T34" s="56" t="s">
        <v>71</v>
      </c>
    </row>
    <row r="35">
      <c r="A35" s="34" t="s">
        <v>72</v>
      </c>
      <c r="B35" s="61">
        <f t="shared" ref="B35:K35" si="9">B33*B34</f>
        <v>0</v>
      </c>
      <c r="C35" s="61">
        <f t="shared" si="9"/>
        <v>0</v>
      </c>
      <c r="D35" s="61">
        <f t="shared" si="9"/>
        <v>0</v>
      </c>
      <c r="E35" s="61">
        <f t="shared" si="9"/>
        <v>0</v>
      </c>
      <c r="F35" s="61">
        <f t="shared" si="9"/>
        <v>0</v>
      </c>
      <c r="G35" s="61">
        <f t="shared" si="9"/>
        <v>0</v>
      </c>
      <c r="H35" s="61">
        <f t="shared" si="9"/>
        <v>0</v>
      </c>
      <c r="I35" s="61">
        <f t="shared" si="9"/>
        <v>0</v>
      </c>
      <c r="J35" s="61">
        <f t="shared" si="9"/>
        <v>0</v>
      </c>
      <c r="K35" s="61">
        <f t="shared" si="9"/>
        <v>0</v>
      </c>
      <c r="L35" s="3"/>
      <c r="M35" s="3"/>
      <c r="N35" s="62"/>
      <c r="R35" s="4"/>
      <c r="S35" s="55" t="s">
        <v>73</v>
      </c>
      <c r="T35" s="56" t="s">
        <v>74</v>
      </c>
    </row>
    <row r="36">
      <c r="A36" s="24" t="s">
        <v>75</v>
      </c>
      <c r="B36" s="25">
        <f t="shared" ref="B36:K36" si="10">B30-B35</f>
        <v>-1086900</v>
      </c>
      <c r="C36" s="25">
        <f t="shared" si="10"/>
        <v>-487380</v>
      </c>
      <c r="D36" s="25">
        <f t="shared" si="10"/>
        <v>4630</v>
      </c>
      <c r="E36" s="25">
        <f t="shared" si="10"/>
        <v>437640</v>
      </c>
      <c r="F36" s="25">
        <f t="shared" si="10"/>
        <v>996150</v>
      </c>
      <c r="G36" s="25">
        <f t="shared" si="10"/>
        <v>1262650</v>
      </c>
      <c r="H36" s="25">
        <f t="shared" si="10"/>
        <v>1854650</v>
      </c>
      <c r="I36" s="25">
        <f t="shared" si="10"/>
        <v>2121150</v>
      </c>
      <c r="J36" s="25">
        <f t="shared" si="10"/>
        <v>2087650</v>
      </c>
      <c r="K36" s="25">
        <f t="shared" si="10"/>
        <v>2354150</v>
      </c>
      <c r="L36" s="3"/>
      <c r="M36" s="3"/>
      <c r="N36" s="3"/>
      <c r="O36" s="4"/>
      <c r="P36" s="4"/>
      <c r="Q36" s="4"/>
      <c r="R36" s="4"/>
      <c r="S36" s="55" t="s">
        <v>76</v>
      </c>
      <c r="T36" s="56" t="s">
        <v>77</v>
      </c>
    </row>
    <row r="37">
      <c r="A37" s="63" t="s">
        <v>78</v>
      </c>
      <c r="B37" s="64">
        <f t="shared" ref="B37:K37" si="11">B36/B10</f>
        <v>-0.5253008554</v>
      </c>
      <c r="C37" s="64">
        <f t="shared" si="11"/>
        <v>-0.1675639994</v>
      </c>
      <c r="D37" s="64">
        <f t="shared" si="11"/>
        <v>0.001285886081</v>
      </c>
      <c r="E37" s="64">
        <f t="shared" si="11"/>
        <v>0.1043580279</v>
      </c>
      <c r="F37" s="64">
        <f t="shared" si="11"/>
        <v>0.1903901838</v>
      </c>
      <c r="G37" s="64">
        <f t="shared" si="11"/>
        <v>0.2263361207</v>
      </c>
      <c r="H37" s="64">
        <f t="shared" si="11"/>
        <v>0.2911241396</v>
      </c>
      <c r="I37" s="64">
        <f t="shared" si="11"/>
        <v>0.3157812465</v>
      </c>
      <c r="J37" s="64">
        <f t="shared" si="11"/>
        <v>0.2955483355</v>
      </c>
      <c r="K37" s="64">
        <f t="shared" si="11"/>
        <v>0.3176926243</v>
      </c>
      <c r="L37" s="52"/>
      <c r="M37" s="52"/>
      <c r="N37" s="3"/>
      <c r="O37" s="4"/>
      <c r="P37" s="4"/>
      <c r="Q37" s="4"/>
      <c r="R37" s="4"/>
      <c r="S37" s="4"/>
      <c r="T37" s="4"/>
      <c r="U37" s="4"/>
    </row>
    <row r="38">
      <c r="A38" s="20"/>
      <c r="B38" s="20"/>
      <c r="C38" s="20"/>
      <c r="D38" s="20"/>
      <c r="E38" s="20"/>
      <c r="F38" s="20"/>
      <c r="G38" s="20"/>
      <c r="H38" s="20"/>
      <c r="I38" s="20"/>
      <c r="J38" s="20"/>
      <c r="K38" s="20"/>
      <c r="L38" s="3"/>
      <c r="M38" s="3"/>
      <c r="N38" s="3"/>
      <c r="O38" s="4"/>
      <c r="P38" s="4"/>
      <c r="Q38" s="4"/>
      <c r="R38" s="4"/>
      <c r="S38" s="4"/>
      <c r="T38" s="4"/>
      <c r="U38" s="4"/>
    </row>
    <row r="39">
      <c r="A39" s="20" t="s">
        <v>79</v>
      </c>
      <c r="B39" s="35">
        <f t="shared" ref="B39:K39" si="12">IF(B36&gt;0,B36*20%,0)</f>
        <v>0</v>
      </c>
      <c r="C39" s="35">
        <f t="shared" si="12"/>
        <v>0</v>
      </c>
      <c r="D39" s="35">
        <f t="shared" si="12"/>
        <v>926</v>
      </c>
      <c r="E39" s="21">
        <f t="shared" si="12"/>
        <v>87528</v>
      </c>
      <c r="F39" s="21">
        <f t="shared" si="12"/>
        <v>199230</v>
      </c>
      <c r="G39" s="21">
        <f t="shared" si="12"/>
        <v>252530</v>
      </c>
      <c r="H39" s="21">
        <f t="shared" si="12"/>
        <v>370930</v>
      </c>
      <c r="I39" s="21">
        <f t="shared" si="12"/>
        <v>424230</v>
      </c>
      <c r="J39" s="21">
        <f t="shared" si="12"/>
        <v>417530</v>
      </c>
      <c r="K39" s="21">
        <f t="shared" si="12"/>
        <v>470830</v>
      </c>
      <c r="L39" s="11"/>
      <c r="M39" s="11"/>
      <c r="N39" s="3"/>
      <c r="O39" s="4"/>
      <c r="P39" s="4"/>
      <c r="Q39" s="4"/>
      <c r="R39" s="4"/>
      <c r="S39" s="4"/>
      <c r="T39" s="4"/>
      <c r="U39" s="4"/>
    </row>
    <row r="40">
      <c r="A40" s="65" t="s">
        <v>80</v>
      </c>
      <c r="B40" s="66">
        <f t="shared" ref="B40:K40" si="13">B36-B39</f>
        <v>-1086900</v>
      </c>
      <c r="C40" s="66">
        <f t="shared" si="13"/>
        <v>-487380</v>
      </c>
      <c r="D40" s="66">
        <f t="shared" si="13"/>
        <v>3704</v>
      </c>
      <c r="E40" s="66">
        <f t="shared" si="13"/>
        <v>350112</v>
      </c>
      <c r="F40" s="66">
        <f t="shared" si="13"/>
        <v>796920</v>
      </c>
      <c r="G40" s="66">
        <f t="shared" si="13"/>
        <v>1010120</v>
      </c>
      <c r="H40" s="66">
        <f t="shared" si="13"/>
        <v>1483720</v>
      </c>
      <c r="I40" s="66">
        <f t="shared" si="13"/>
        <v>1696920</v>
      </c>
      <c r="J40" s="66">
        <f t="shared" si="13"/>
        <v>1670120</v>
      </c>
      <c r="K40" s="66">
        <f t="shared" si="13"/>
        <v>1883320</v>
      </c>
      <c r="L40" s="3"/>
      <c r="M40" s="3"/>
      <c r="N40" s="3"/>
      <c r="O40" s="4"/>
      <c r="P40" s="4"/>
      <c r="Q40" s="4"/>
      <c r="R40" s="4"/>
      <c r="S40" s="4"/>
      <c r="T40" s="4"/>
      <c r="U40" s="4"/>
    </row>
    <row r="41">
      <c r="A41" s="4"/>
      <c r="B41" s="20"/>
      <c r="C41" s="20"/>
      <c r="D41" s="20"/>
      <c r="E41" s="20"/>
      <c r="F41" s="20"/>
      <c r="G41" s="20"/>
      <c r="H41" s="20"/>
      <c r="I41" s="20"/>
      <c r="J41" s="20"/>
      <c r="K41" s="20"/>
      <c r="L41" s="20"/>
      <c r="M41" s="20"/>
      <c r="N41" s="3"/>
      <c r="O41" s="4"/>
      <c r="P41" s="4"/>
      <c r="Q41" s="4"/>
      <c r="R41" s="4"/>
      <c r="S41" s="4"/>
      <c r="T41" s="4"/>
      <c r="U41" s="4"/>
    </row>
    <row r="42">
      <c r="A42" s="67" t="s">
        <v>81</v>
      </c>
      <c r="B42" s="68"/>
      <c r="C42" s="68"/>
      <c r="D42" s="68"/>
      <c r="E42" s="68"/>
      <c r="F42" s="68"/>
      <c r="G42" s="68"/>
      <c r="H42" s="68"/>
      <c r="I42" s="68"/>
      <c r="J42" s="68"/>
      <c r="K42" s="68"/>
      <c r="L42" s="20"/>
      <c r="M42" s="20"/>
      <c r="N42" s="3"/>
      <c r="O42" s="4"/>
      <c r="P42" s="4"/>
      <c r="Q42" s="4"/>
      <c r="R42" s="4"/>
      <c r="S42" s="4"/>
      <c r="T42" s="4"/>
      <c r="U42" s="4"/>
    </row>
    <row r="43">
      <c r="A43" s="45" t="s">
        <v>82</v>
      </c>
      <c r="B43" s="69">
        <f>B40</f>
        <v>-1086900</v>
      </c>
      <c r="C43" s="69">
        <f t="shared" ref="C43:K43" si="14">B43+C40</f>
        <v>-1574280</v>
      </c>
      <c r="D43" s="69">
        <f t="shared" si="14"/>
        <v>-1570576</v>
      </c>
      <c r="E43" s="69">
        <f t="shared" si="14"/>
        <v>-1220464</v>
      </c>
      <c r="F43" s="69">
        <f t="shared" si="14"/>
        <v>-423544</v>
      </c>
      <c r="G43" s="69">
        <f t="shared" si="14"/>
        <v>586576</v>
      </c>
      <c r="H43" s="69">
        <f t="shared" si="14"/>
        <v>2070296</v>
      </c>
      <c r="I43" s="69">
        <f t="shared" si="14"/>
        <v>3767216</v>
      </c>
      <c r="J43" s="69">
        <f t="shared" si="14"/>
        <v>5437336</v>
      </c>
      <c r="K43" s="69">
        <f t="shared" si="14"/>
        <v>7320656</v>
      </c>
      <c r="L43" s="4"/>
      <c r="M43" s="4"/>
      <c r="N43" s="4"/>
      <c r="O43" s="4"/>
      <c r="P43" s="4"/>
      <c r="Q43" s="4"/>
      <c r="R43" s="4"/>
      <c r="S43" s="4"/>
      <c r="T43" s="4"/>
      <c r="U43" s="4"/>
    </row>
    <row r="44">
      <c r="A44" s="45" t="s">
        <v>83</v>
      </c>
      <c r="B44" s="70">
        <f t="shared" ref="B44:K44" si="15">ABS(MIN(B43,0))</f>
        <v>1086900</v>
      </c>
      <c r="C44" s="70">
        <f t="shared" si="15"/>
        <v>1574280</v>
      </c>
      <c r="D44" s="70">
        <f t="shared" si="15"/>
        <v>1570576</v>
      </c>
      <c r="E44" s="70">
        <f t="shared" si="15"/>
        <v>1220464</v>
      </c>
      <c r="F44" s="70">
        <f t="shared" si="15"/>
        <v>423544</v>
      </c>
      <c r="G44" s="70">
        <f t="shared" si="15"/>
        <v>0</v>
      </c>
      <c r="H44" s="70">
        <f t="shared" si="15"/>
        <v>0</v>
      </c>
      <c r="I44" s="70">
        <f t="shared" si="15"/>
        <v>0</v>
      </c>
      <c r="J44" s="70">
        <f t="shared" si="15"/>
        <v>0</v>
      </c>
      <c r="K44" s="70">
        <f t="shared" si="15"/>
        <v>0</v>
      </c>
      <c r="L44" s="4"/>
      <c r="M44" s="4"/>
      <c r="N44" s="4"/>
      <c r="O44" s="4"/>
      <c r="P44" s="4"/>
      <c r="Q44" s="4"/>
      <c r="R44" s="4"/>
      <c r="S44" s="4"/>
      <c r="T44" s="4"/>
      <c r="U44" s="4"/>
    </row>
    <row r="45">
      <c r="A45" s="71" t="s">
        <v>84</v>
      </c>
      <c r="B45" s="4"/>
      <c r="C45" s="4"/>
      <c r="D45" s="4"/>
      <c r="E45" s="4"/>
      <c r="F45" s="4"/>
      <c r="G45" s="4"/>
      <c r="H45" s="4"/>
      <c r="I45" s="4"/>
      <c r="J45" s="4"/>
      <c r="K45" s="4"/>
      <c r="L45" s="4"/>
      <c r="M45" s="4"/>
      <c r="N45" s="4"/>
      <c r="O45" s="4"/>
      <c r="P45" s="4"/>
      <c r="Q45" s="4"/>
      <c r="R45" s="4"/>
      <c r="S45" s="4"/>
      <c r="T45" s="4"/>
      <c r="U45" s="4"/>
    </row>
    <row r="46">
      <c r="A46" s="4"/>
      <c r="B46" s="4"/>
      <c r="C46" s="4"/>
      <c r="D46" s="4"/>
      <c r="E46" s="4"/>
      <c r="F46" s="4"/>
      <c r="G46" s="4"/>
      <c r="H46" s="4"/>
      <c r="I46" s="4"/>
      <c r="J46" s="4"/>
      <c r="K46" s="4"/>
      <c r="L46" s="4"/>
      <c r="M46" s="4"/>
      <c r="N46" s="4"/>
      <c r="O46" s="4"/>
      <c r="P46" s="4"/>
      <c r="Q46" s="4"/>
      <c r="R46" s="4"/>
      <c r="S46" s="4"/>
      <c r="T46" s="4"/>
      <c r="U46" s="4"/>
    </row>
  </sheetData>
  <mergeCells count="16">
    <mergeCell ref="T31:U31"/>
    <mergeCell ref="T32:U32"/>
    <mergeCell ref="O33:Q33"/>
    <mergeCell ref="T33:U33"/>
    <mergeCell ref="N34:N35"/>
    <mergeCell ref="O34:Q35"/>
    <mergeCell ref="T34:U34"/>
    <mergeCell ref="T35:U35"/>
    <mergeCell ref="T36:U36"/>
    <mergeCell ref="N24:T26"/>
    <mergeCell ref="O29:Q29"/>
    <mergeCell ref="S29:U29"/>
    <mergeCell ref="O30:Q30"/>
    <mergeCell ref="T30:U30"/>
    <mergeCell ref="O31:Q31"/>
    <mergeCell ref="O32:Q3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